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pivotTables/pivotTable5.xml" ContentType="application/vnd.openxmlformats-officedocument.spreadsheetml.pivotTable+xml"/>
  <Override PartName="/xl/comments2.xml" ContentType="application/vnd.openxmlformats-officedocument.spreadsheetml.comment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mc:AlternateContent xmlns:mc="http://schemas.openxmlformats.org/markup-compatibility/2006">
    <mc:Choice Requires="x15">
      <x15ac:absPath xmlns:x15ac="http://schemas.microsoft.com/office/spreadsheetml/2010/11/ac" url="https://consumersenergy-my.sharepoint.com/personal/dawn_pettengill_cmsenergy_com/Documents/Documents/S4 Hana/"/>
    </mc:Choice>
  </mc:AlternateContent>
  <xr:revisionPtr revIDLastSave="0" documentId="8_{E00ACA24-0C08-4B56-817D-E6B97426E1ED}" xr6:coauthVersionLast="47" xr6:coauthVersionMax="47" xr10:uidLastSave="{00000000-0000-0000-0000-000000000000}"/>
  <bookViews>
    <workbookView xWindow="150" yWindow="390" windowWidth="28650" windowHeight="15015" tabRatio="631" firstSheet="7" activeTab="7" xr2:uid="{E9E21C8E-CCB1-43F8-A285-EE772409C8DD}"/>
  </bookViews>
  <sheets>
    <sheet name="Decision Pt Costs" sheetId="2" state="hidden" r:id="rId1"/>
    <sheet name="Detail2" sheetId="10" state="hidden" r:id="rId2"/>
    <sheet name="Sheet3" sheetId="7" state="hidden" r:id="rId3"/>
    <sheet name="Detail1" sheetId="9" state="hidden" r:id="rId4"/>
    <sheet name="Pivots for Manoj" sheetId="8" state="hidden" r:id="rId5"/>
    <sheet name="Sheet2" sheetId="6" state="hidden" r:id="rId6"/>
    <sheet name="Vendor - Details " sheetId="12" r:id="rId7"/>
    <sheet name="Customers" sheetId="17" r:id="rId8"/>
    <sheet name="All Other Integrations Details" sheetId="16" r:id="rId9"/>
    <sheet name="Sheet1" sheetId="15" r:id="rId10"/>
    <sheet name="Prompt" sheetId="18" r:id="rId11"/>
    <sheet name="Notes" sheetId="14" r:id="rId12"/>
    <sheet name="Vendor Engagment Costs" sheetId="1" state="hidden" r:id="rId13"/>
    <sheet name="GCC ECC Vendor " sheetId="4" state="hidden" r:id="rId14"/>
    <sheet name="Vendors" sheetId="5" state="hidden" r:id="rId15"/>
  </sheets>
  <externalReferences>
    <externalReference r:id="rId16"/>
  </externalReferences>
  <definedNames>
    <definedName name="_xlnm._FilterDatabase" localSheetId="8" hidden="1">'All Other Integrations Details'!$A$1:$G$165</definedName>
    <definedName name="_xlnm._FilterDatabase" localSheetId="7" hidden="1">Customers!$A$1:$G$141</definedName>
    <definedName name="_xlnm._FilterDatabase" localSheetId="13" hidden="1">'GCC ECC Vendor '!$A$1:$H$1</definedName>
    <definedName name="_xlnm._FilterDatabase" localSheetId="6" hidden="1">'Vendor - Details '!$A$1:$AX$218</definedName>
    <definedName name="_xlnm._FilterDatabase" localSheetId="12" hidden="1">'Vendor Engagment Costs'!$A$1:$W$193</definedName>
  </definedNames>
  <calcPr calcId="191028"/>
  <pivotCaches>
    <pivotCache cacheId="621" r:id="rId17"/>
    <pivotCache cacheId="622" r:id="rId18"/>
    <pivotCache cacheId="623"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61" i="12" l="1"/>
  <c r="AQ14" i="12"/>
  <c r="AQ3" i="12"/>
  <c r="AQ63" i="12"/>
  <c r="AQ5" i="12"/>
  <c r="AQ6" i="12"/>
  <c r="AQ7" i="12"/>
  <c r="AQ8" i="12"/>
  <c r="AQ25" i="12"/>
  <c r="AQ31" i="12"/>
  <c r="AQ15" i="12"/>
  <c r="AQ30" i="12"/>
  <c r="AQ21" i="12"/>
  <c r="AQ22" i="12"/>
  <c r="AQ64" i="12"/>
  <c r="AQ17" i="12"/>
  <c r="AQ20" i="12"/>
  <c r="AQ32" i="12"/>
  <c r="AQ59" i="12"/>
  <c r="AQ12" i="12"/>
  <c r="AQ24" i="12"/>
  <c r="AQ13" i="12"/>
  <c r="AQ60" i="12"/>
  <c r="AQ29" i="12"/>
  <c r="AQ26" i="12"/>
  <c r="AQ27" i="12"/>
  <c r="AQ4" i="12"/>
  <c r="AQ23" i="12"/>
  <c r="AQ9" i="12"/>
  <c r="AQ10" i="12"/>
  <c r="AQ33" i="12"/>
  <c r="AQ34" i="12"/>
  <c r="AQ35" i="12"/>
  <c r="AQ36" i="12"/>
  <c r="AQ37" i="12"/>
  <c r="AQ38" i="12"/>
  <c r="AQ39" i="12"/>
  <c r="AQ40" i="12"/>
  <c r="AQ41" i="12"/>
  <c r="AQ42" i="12"/>
  <c r="AQ43" i="12"/>
  <c r="AQ44" i="12"/>
  <c r="AQ45" i="12"/>
  <c r="AQ46" i="12"/>
  <c r="AQ47" i="12"/>
  <c r="AQ48" i="12"/>
  <c r="AQ49" i="12"/>
  <c r="AQ50" i="12"/>
  <c r="AQ51" i="12"/>
  <c r="AQ52" i="12"/>
  <c r="AQ53" i="12"/>
  <c r="AQ54" i="12"/>
  <c r="AQ55" i="12"/>
  <c r="AQ56" i="12"/>
  <c r="AQ57" i="12"/>
  <c r="AQ58" i="12"/>
  <c r="AQ62" i="12"/>
  <c r="AQ28" i="12"/>
  <c r="AQ16" i="12"/>
  <c r="AQ65" i="12"/>
  <c r="AQ18" i="12"/>
  <c r="AQ19" i="12"/>
  <c r="AQ11" i="12"/>
  <c r="AQ66" i="12"/>
  <c r="AQ67" i="12"/>
  <c r="AQ68" i="12"/>
  <c r="AQ69" i="12"/>
  <c r="AQ70" i="12"/>
  <c r="AQ71" i="12"/>
  <c r="AQ72" i="12"/>
  <c r="AQ73" i="12"/>
  <c r="AQ74" i="12"/>
  <c r="AQ75" i="12"/>
  <c r="AQ76" i="12"/>
  <c r="AQ77" i="12"/>
  <c r="AQ78" i="12"/>
  <c r="AQ79" i="12"/>
  <c r="AQ80" i="12"/>
  <c r="AQ81" i="12"/>
  <c r="AQ82" i="12"/>
  <c r="AQ83" i="12"/>
  <c r="AQ84" i="12"/>
  <c r="AQ85" i="12"/>
  <c r="AQ86" i="12"/>
  <c r="AQ87" i="12"/>
  <c r="AQ88" i="12"/>
  <c r="AQ89" i="12"/>
  <c r="AQ90" i="12"/>
  <c r="AQ91" i="12"/>
  <c r="AQ92" i="12"/>
  <c r="AQ93" i="12"/>
  <c r="AQ94" i="12"/>
  <c r="AQ95" i="12"/>
  <c r="AQ96" i="12"/>
  <c r="AQ97" i="12"/>
  <c r="AQ98" i="12"/>
  <c r="AQ99" i="12"/>
  <c r="AQ100" i="12"/>
  <c r="AQ101" i="12"/>
  <c r="AQ102" i="12"/>
  <c r="AQ103" i="12"/>
  <c r="AQ104" i="12"/>
  <c r="AQ105" i="12"/>
  <c r="AQ106" i="12"/>
  <c r="AQ107" i="12"/>
  <c r="AQ108" i="12"/>
  <c r="AQ109" i="12"/>
  <c r="AQ110" i="12"/>
  <c r="AQ111" i="12"/>
  <c r="AQ112" i="12"/>
  <c r="AQ113" i="12"/>
  <c r="AQ114" i="12"/>
  <c r="AQ115" i="12"/>
  <c r="AQ116" i="12"/>
  <c r="AQ117" i="12"/>
  <c r="AQ118" i="12"/>
  <c r="AQ119" i="12"/>
  <c r="AQ120" i="12"/>
  <c r="AQ121" i="12"/>
  <c r="AQ122" i="12"/>
  <c r="AQ123" i="12"/>
  <c r="AQ124" i="12"/>
  <c r="AQ125" i="12"/>
  <c r="AQ126" i="12"/>
  <c r="AQ127" i="12"/>
  <c r="AQ128" i="12"/>
  <c r="AQ129" i="12"/>
  <c r="AQ130" i="12"/>
  <c r="AQ131" i="12"/>
  <c r="AQ132" i="12"/>
  <c r="AQ133" i="12"/>
  <c r="AQ134" i="12"/>
  <c r="AQ135" i="12"/>
  <c r="AQ136" i="12"/>
  <c r="AQ137" i="12"/>
  <c r="AQ138" i="12"/>
  <c r="AQ139" i="12"/>
  <c r="AQ140" i="12"/>
  <c r="AQ141" i="12"/>
  <c r="AQ142" i="12"/>
  <c r="AQ143" i="12"/>
  <c r="AQ144" i="12"/>
  <c r="AQ145" i="12"/>
  <c r="AQ146" i="12"/>
  <c r="AQ147" i="12"/>
  <c r="AQ148" i="12"/>
  <c r="AQ149" i="12"/>
  <c r="AQ150" i="12"/>
  <c r="AQ151" i="12"/>
  <c r="AQ152" i="12"/>
  <c r="AQ153" i="12"/>
  <c r="AQ154" i="12"/>
  <c r="AQ155" i="12"/>
  <c r="AQ156" i="12"/>
  <c r="AQ157" i="12"/>
  <c r="AQ158" i="12"/>
  <c r="AQ159" i="12"/>
  <c r="AQ160" i="12"/>
  <c r="AQ161" i="12"/>
  <c r="AQ162" i="12"/>
  <c r="AQ163" i="12"/>
  <c r="AQ164" i="12"/>
  <c r="AQ165" i="12"/>
  <c r="AQ166" i="12"/>
  <c r="AQ167" i="12"/>
  <c r="AQ168" i="12"/>
  <c r="AQ169" i="12"/>
  <c r="AQ170" i="12"/>
  <c r="AQ171" i="12"/>
  <c r="AQ172" i="12"/>
  <c r="AQ173" i="12"/>
  <c r="AQ174" i="12"/>
  <c r="AQ175" i="12"/>
  <c r="AQ176" i="12"/>
  <c r="AQ177" i="12"/>
  <c r="AQ178" i="12"/>
  <c r="AQ179" i="12"/>
  <c r="AQ180" i="12"/>
  <c r="AQ181" i="12"/>
  <c r="AQ182" i="12"/>
  <c r="AQ183" i="12"/>
  <c r="AQ184" i="12"/>
  <c r="AQ185" i="12"/>
  <c r="AQ186" i="12"/>
  <c r="AQ187" i="12"/>
  <c r="AQ188" i="12"/>
  <c r="AQ189" i="12"/>
  <c r="AQ190" i="12"/>
  <c r="AQ191" i="12"/>
  <c r="AQ192" i="12"/>
  <c r="AQ193" i="12"/>
  <c r="AQ194" i="12"/>
  <c r="AQ195" i="12"/>
  <c r="AQ196" i="12"/>
  <c r="AQ197" i="12"/>
  <c r="AQ198" i="12"/>
  <c r="AQ199" i="12"/>
  <c r="AQ200" i="12"/>
  <c r="AQ201" i="12"/>
  <c r="AQ202" i="12"/>
  <c r="AQ203" i="12"/>
  <c r="AQ204" i="12"/>
  <c r="AQ205" i="12"/>
  <c r="AQ206" i="12"/>
  <c r="AQ207" i="12"/>
  <c r="AQ208" i="12"/>
  <c r="AQ209" i="12"/>
  <c r="AQ210" i="12"/>
  <c r="AQ211" i="12"/>
  <c r="AQ212" i="12"/>
  <c r="AQ213" i="12"/>
  <c r="AQ214" i="12"/>
  <c r="AQ215" i="12"/>
  <c r="AQ216" i="12"/>
  <c r="AQ217" i="12"/>
  <c r="AQ218" i="12"/>
  <c r="AQ2" i="12"/>
  <c r="K27" i="4" a="1"/>
  <c r="K27" i="4"/>
  <c r="J27" i="4" a="1"/>
  <c r="J27" i="4"/>
  <c r="I27" i="4" a="1"/>
  <c r="I27" i="4"/>
  <c r="H27" i="4" a="1"/>
  <c r="H27" i="4"/>
  <c r="G27" i="4" a="1"/>
  <c r="G27" i="4"/>
  <c r="K26" i="4" a="1"/>
  <c r="K26" i="4"/>
  <c r="J26" i="4" a="1"/>
  <c r="J26" i="4"/>
  <c r="I26" i="4" a="1"/>
  <c r="I26" i="4"/>
  <c r="H26" i="4" a="1"/>
  <c r="H26" i="4"/>
  <c r="G26" i="4" a="1"/>
  <c r="G26" i="4"/>
  <c r="K25" i="4" a="1"/>
  <c r="K25" i="4"/>
  <c r="J25" i="4" a="1"/>
  <c r="J25" i="4"/>
  <c r="I25" i="4" a="1"/>
  <c r="I25" i="4"/>
  <c r="H25" i="4" a="1"/>
  <c r="H25" i="4"/>
  <c r="G25" i="4" a="1"/>
  <c r="G25" i="4"/>
  <c r="K24" i="4" a="1"/>
  <c r="K24" i="4"/>
  <c r="J24" i="4" a="1"/>
  <c r="J24" i="4"/>
  <c r="I24" i="4" a="1"/>
  <c r="I24" i="4"/>
  <c r="H24" i="4" a="1"/>
  <c r="H24" i="4"/>
  <c r="G24" i="4" a="1"/>
  <c r="G24" i="4"/>
  <c r="K23" i="4" a="1"/>
  <c r="K23" i="4"/>
  <c r="J23" i="4" a="1"/>
  <c r="J23" i="4"/>
  <c r="I23" i="4" a="1"/>
  <c r="I23" i="4"/>
  <c r="H23" i="4" a="1"/>
  <c r="H23" i="4"/>
  <c r="G23" i="4" a="1"/>
  <c r="G23" i="4"/>
  <c r="K22" i="4" a="1"/>
  <c r="K22" i="4"/>
  <c r="J22" i="4" a="1"/>
  <c r="J22" i="4"/>
  <c r="I22" i="4" a="1"/>
  <c r="I22" i="4"/>
  <c r="H22" i="4" a="1"/>
  <c r="H22" i="4"/>
  <c r="G22" i="4" a="1"/>
  <c r="G22" i="4"/>
  <c r="K21" i="4" a="1"/>
  <c r="K21" i="4"/>
  <c r="J21" i="4" a="1"/>
  <c r="J21" i="4"/>
  <c r="I21" i="4" a="1"/>
  <c r="I21" i="4"/>
  <c r="H21" i="4" a="1"/>
  <c r="H21" i="4"/>
  <c r="G21" i="4" a="1"/>
  <c r="G21" i="4"/>
  <c r="K20" i="4" a="1"/>
  <c r="K20" i="4"/>
  <c r="J20" i="4" a="1"/>
  <c r="J20" i="4"/>
  <c r="I20" i="4" a="1"/>
  <c r="I20" i="4"/>
  <c r="H20" i="4" a="1"/>
  <c r="H20" i="4"/>
  <c r="G20" i="4" a="1"/>
  <c r="G20" i="4"/>
  <c r="K19" i="4" a="1"/>
  <c r="K19" i="4"/>
  <c r="J19" i="4" a="1"/>
  <c r="J19" i="4"/>
  <c r="I19" i="4" a="1"/>
  <c r="I19" i="4"/>
  <c r="H19" i="4" a="1"/>
  <c r="H19" i="4"/>
  <c r="G19" i="4" a="1"/>
  <c r="G19" i="4"/>
  <c r="K18" i="4" a="1"/>
  <c r="K18" i="4"/>
  <c r="J18" i="4" a="1"/>
  <c r="J18" i="4"/>
  <c r="I18" i="4" a="1"/>
  <c r="I18" i="4"/>
  <c r="H18" i="4" a="1"/>
  <c r="H18" i="4"/>
  <c r="G18" i="4" a="1"/>
  <c r="G18" i="4"/>
  <c r="K17" i="4" a="1"/>
  <c r="K17" i="4"/>
  <c r="J17" i="4" a="1"/>
  <c r="J17" i="4"/>
  <c r="I17" i="4" a="1"/>
  <c r="I17" i="4"/>
  <c r="H17" i="4" a="1"/>
  <c r="H17" i="4"/>
  <c r="G17" i="4" a="1"/>
  <c r="G17" i="4"/>
  <c r="K16" i="4" a="1"/>
  <c r="K16" i="4"/>
  <c r="J16" i="4" a="1"/>
  <c r="J16" i="4"/>
  <c r="I16" i="4" a="1"/>
  <c r="I16" i="4"/>
  <c r="H16" i="4" a="1"/>
  <c r="H16" i="4"/>
  <c r="G16" i="4" a="1"/>
  <c r="G16" i="4"/>
  <c r="K15" i="4" a="1"/>
  <c r="K15" i="4"/>
  <c r="J15" i="4" a="1"/>
  <c r="J15" i="4"/>
  <c r="I15" i="4" a="1"/>
  <c r="I15" i="4"/>
  <c r="H15" i="4" a="1"/>
  <c r="H15" i="4"/>
  <c r="G15" i="4" a="1"/>
  <c r="G15" i="4"/>
  <c r="K14" i="4" a="1"/>
  <c r="K14" i="4"/>
  <c r="J14" i="4" a="1"/>
  <c r="J14" i="4"/>
  <c r="I14" i="4" a="1"/>
  <c r="I14" i="4"/>
  <c r="H14" i="4" a="1"/>
  <c r="H14" i="4"/>
  <c r="G14" i="4" a="1"/>
  <c r="G14" i="4"/>
  <c r="K13" i="4" a="1"/>
  <c r="K13" i="4"/>
  <c r="J13" i="4" a="1"/>
  <c r="J13" i="4"/>
  <c r="I13" i="4" a="1"/>
  <c r="I13" i="4"/>
  <c r="H13" i="4" a="1"/>
  <c r="H13" i="4"/>
  <c r="G13" i="4" a="1"/>
  <c r="G13" i="4"/>
  <c r="K12" i="4" a="1"/>
  <c r="K12" i="4"/>
  <c r="J12" i="4" a="1"/>
  <c r="J12" i="4"/>
  <c r="I12" i="4" a="1"/>
  <c r="I12" i="4"/>
  <c r="H12" i="4" a="1"/>
  <c r="H12" i="4"/>
  <c r="G12" i="4" a="1"/>
  <c r="G12" i="4"/>
  <c r="K11" i="4" a="1"/>
  <c r="K11" i="4"/>
  <c r="J11" i="4" a="1"/>
  <c r="J11" i="4"/>
  <c r="I11" i="4" a="1"/>
  <c r="I11" i="4"/>
  <c r="H11" i="4" a="1"/>
  <c r="H11" i="4"/>
  <c r="G11" i="4" a="1"/>
  <c r="G11" i="4"/>
  <c r="K10" i="4" a="1"/>
  <c r="K10" i="4"/>
  <c r="J10" i="4" a="1"/>
  <c r="J10" i="4"/>
  <c r="I10" i="4" a="1"/>
  <c r="I10" i="4"/>
  <c r="H10" i="4" a="1"/>
  <c r="H10" i="4"/>
  <c r="G10" i="4" a="1"/>
  <c r="G10" i="4"/>
  <c r="K9" i="4" a="1"/>
  <c r="K9" i="4"/>
  <c r="J9" i="4" a="1"/>
  <c r="J9" i="4"/>
  <c r="I9" i="4" a="1"/>
  <c r="I9" i="4"/>
  <c r="H9" i="4" a="1"/>
  <c r="H9" i="4"/>
  <c r="G9" i="4" a="1"/>
  <c r="G9" i="4"/>
  <c r="K8" i="4" a="1"/>
  <c r="K8" i="4"/>
  <c r="J8" i="4" a="1"/>
  <c r="J8" i="4"/>
  <c r="I8" i="4" a="1"/>
  <c r="I8" i="4"/>
  <c r="H8" i="4" a="1"/>
  <c r="H8" i="4"/>
  <c r="G8" i="4" a="1"/>
  <c r="G8" i="4"/>
  <c r="K7" i="4" a="1"/>
  <c r="K7" i="4"/>
  <c r="J7" i="4" a="1"/>
  <c r="J7" i="4"/>
  <c r="I7" i="4" a="1"/>
  <c r="I7" i="4"/>
  <c r="H7" i="4" a="1"/>
  <c r="H7" i="4"/>
  <c r="G7" i="4" a="1"/>
  <c r="G7" i="4"/>
  <c r="K6" i="4" a="1"/>
  <c r="K6" i="4"/>
  <c r="J6" i="4" a="1"/>
  <c r="J6" i="4"/>
  <c r="I6" i="4" a="1"/>
  <c r="I6" i="4"/>
  <c r="H6" i="4" a="1"/>
  <c r="H6" i="4"/>
  <c r="G6" i="4" a="1"/>
  <c r="G6" i="4"/>
  <c r="K5" i="4" a="1"/>
  <c r="K5" i="4"/>
  <c r="J5" i="4" a="1"/>
  <c r="J5" i="4"/>
  <c r="I5" i="4" a="1"/>
  <c r="I5" i="4"/>
  <c r="H5" i="4" a="1"/>
  <c r="H5" i="4"/>
  <c r="G5" i="4" a="1"/>
  <c r="G5" i="4"/>
  <c r="K4" i="4" a="1"/>
  <c r="K4" i="4"/>
  <c r="J4" i="4" a="1"/>
  <c r="J4" i="4"/>
  <c r="I4" i="4" a="1"/>
  <c r="I4" i="4"/>
  <c r="H4" i="4" a="1"/>
  <c r="H4" i="4"/>
  <c r="G4" i="4" a="1"/>
  <c r="G4" i="4"/>
  <c r="K3" i="4" a="1"/>
  <c r="K3" i="4"/>
  <c r="J3" i="4" a="1"/>
  <c r="J3" i="4"/>
  <c r="I3" i="4" a="1"/>
  <c r="I3" i="4"/>
  <c r="H3" i="4" a="1"/>
  <c r="H3" i="4"/>
  <c r="G3" i="4" a="1"/>
  <c r="G3" i="4"/>
  <c r="K2" i="4" a="1"/>
  <c r="K2" i="4"/>
  <c r="J2" i="4" a="1"/>
  <c r="J2" i="4"/>
  <c r="I2" i="4" a="1"/>
  <c r="I2" i="4"/>
  <c r="H2" i="4" a="1"/>
  <c r="H2" i="4"/>
  <c r="G2" i="4" a="1"/>
  <c r="G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Kenneth W. Krejcik</author>
  </authors>
  <commentList>
    <comment ref="G128" authorId="0" shapeId="0" xr:uid="{8DEE3D00-6C36-4F20-874A-3FE015552E7E}">
      <text>
        <r>
          <rPr>
            <sz val="11"/>
            <color theme="1"/>
            <rFont val="Aptos Narrow"/>
            <family val="2"/>
            <scheme val="minor"/>
          </rPr>
          <t xml:space="preserve">Kenneth W. Krejcik:
Hi Kenneth,
ACF Global Logistics has requested introductory reading materials and a high-level overview of Consumers Energy’s S/4HANA system and API integration approach. Their team is preparing for the rescheduled meeting next week and would appreciate receiving this information as soon as possible to ensure they are well-prepared.
Greg, the two IT team members, noted that they are new to the role and are seeking clarity on what Consumers Energy’s IT teams expect from their organization in terms of system compatibility and integration. While ACF Global Logistics is not currently using S/4HANA with other clients, they do support API-based integrations and have customers actively migrating to API platforms.
To help bring their two new IT team members up to speed, they are specifically looking for:
•	A high-level synopsis of Consumers Energy’s 3PL freight process
•	Key stages and timelines associated with the S/4HANA migration
•	Expectations for API usage and integration points
Please let me know if you can provide documentation or a summary that addresses these areas. Your support will help ensure alignment and a productive discussion in the upcoming meeting.
Thank you, Kenneth!
Katrina
</t>
        </r>
      </text>
    </comment>
    <comment ref="H129" authorId="0" shapeId="0" xr:uid="{B550F9B8-4564-4A94-AE25-6DB9AF18B545}">
      <text>
        <r>
          <rPr>
            <b/>
            <sz val="9"/>
            <color indexed="81"/>
            <rFont val="Tahoma"/>
            <family val="2"/>
          </rPr>
          <t>Kenneth W. Krejcik:</t>
        </r>
        <r>
          <rPr>
            <sz val="9"/>
            <color indexed="81"/>
            <rFont val="Tahoma"/>
            <family val="2"/>
          </rPr>
          <t xml:space="preserve">
9/3/2025
Hi Ken,
Please see responses below and let me know if it would be helpful to meet with our product team to discuss!
• Do you have other customers already using SAP S/4? Yes, we do 
• Are you aware of any changes that are typically made to the integrations as part of other customers moves to SAP S/4?  Please explain.  There is the option to update the data extract when a customer moves over to S/4 HANA and we would recommend that Consumers do this to send a more complete report of their spend data.  For example, an updated extract could include cost center, unit price and business unit.    
• Are you able to accommodate the use of APIs as part of your integration architecture?  Please explain.  We have an API we are starting to roll out for customers to receive their spend data after we have cleansed it to be able to integrate the enriched data into their own data lake or system – this should be available in the coming months for Consumers.  We do not use an API to collect spend data for the refresh, although a customer can automate the upload to an SFTP site that we can then pull the data down from.
Best,
Isabel 
-----------------------------------------------------------------------
8/28/2025
Hello Isabel – I was provided your contact information from Jennifer Dreffs.  Please feel free to respond via email or we can set up a meeting to discuss if you prefer.  
We are in the very early stage of our journey to move to SAP S/4 and wanted to touch base with you because we have a few questions about our SAP to Wood Mackenzie PowerAdvocate file-based interfaces.    
File Name (BizTalk)                     Target                Inbound/Outbound
SC_PowerAdvocate_PCard_*.csv    PowerAdvocate    Outbound
SC_PowerAdvocate_TE_*.csv        PowerAdvocate    Outbound
CE_Ariba_SV_SAP_*.zip                PowerAdvocate    Outbound
• Do you have other customers already using SAP S/4?
• Are you aware of any changes that are typically made to the integrations as part of other customers moves to SAP S/4?  Please explain.  
• Are you able to accommodate the use of APIs as part of your integration architecture?  Please explain.  
We appreciate your help and look forward to further discussions.
Thank you,
Ken Krejcik
Consumers Energy
Customer Experience &amp; Technology-Applications &amp; Analytics
Launchpad-SAP S/4 Supply Chain Technical Lead
Principal Product Architect</t>
        </r>
      </text>
    </comment>
    <comment ref="G130" authorId="0" shapeId="0" xr:uid="{7F6DBD34-591D-4168-BAEB-1990CAA2142B}">
      <text>
        <r>
          <rPr>
            <b/>
            <sz val="9"/>
            <color indexed="81"/>
            <rFont val="Tahoma"/>
            <family val="2"/>
          </rPr>
          <t>Kenneth W. Krejcik:</t>
        </r>
        <r>
          <rPr>
            <sz val="9"/>
            <color indexed="81"/>
            <rFont val="Tahoma"/>
            <family val="2"/>
          </rPr>
          <t xml:space="preserve">
No contracts found in Ariba.  Check with Michelle Savicki or Bruce Vida Jr</t>
        </r>
      </text>
    </comment>
    <comment ref="G131" authorId="0" shapeId="0" xr:uid="{AE7497E1-C401-4724-A954-FA747FDF1015}">
      <text>
        <r>
          <rPr>
            <b/>
            <sz val="9"/>
            <color indexed="81"/>
            <rFont val="Tahoma"/>
            <family val="2"/>
          </rPr>
          <t>Kenneth W. Krejcik:</t>
        </r>
        <r>
          <rPr>
            <sz val="9"/>
            <color indexed="81"/>
            <rFont val="Tahoma"/>
            <family val="2"/>
          </rPr>
          <t xml:space="preserve">
No contracts found in Ariba.  Check with Michelle Savicki or Bruce Vida Jr</t>
        </r>
      </text>
    </comment>
    <comment ref="G132" authorId="0" shapeId="0" xr:uid="{C09BF471-38A8-4CAE-AB71-5A21A429DE58}">
      <text>
        <r>
          <rPr>
            <b/>
            <sz val="9"/>
            <color indexed="81"/>
            <rFont val="Tahoma"/>
            <family val="2"/>
          </rPr>
          <t>Kenneth W. Krejcik:</t>
        </r>
        <r>
          <rPr>
            <sz val="9"/>
            <color indexed="81"/>
            <rFont val="Tahoma"/>
            <family val="2"/>
          </rPr>
          <t xml:space="preserve">
Lisa Hibbler </t>
        </r>
      </text>
    </comment>
    <comment ref="G133" authorId="0" shapeId="0" xr:uid="{B89BC351-7A98-424E-8B20-885EFF14C4F7}">
      <text>
        <r>
          <rPr>
            <b/>
            <sz val="9"/>
            <color indexed="81"/>
            <rFont val="Tahoma"/>
            <family val="2"/>
          </rPr>
          <t>Kenneth W. Krejcik:</t>
        </r>
        <r>
          <rPr>
            <sz val="9"/>
            <color indexed="81"/>
            <rFont val="Tahoma"/>
            <family val="2"/>
          </rPr>
          <t xml:space="preserve">
Lisa Hibbler </t>
        </r>
      </text>
    </comment>
    <comment ref="G134" authorId="0" shapeId="0" xr:uid="{1B7E2D41-B8ED-4492-8B9C-11E49AC98B30}">
      <text>
        <r>
          <rPr>
            <b/>
            <sz val="9"/>
            <color indexed="81"/>
            <rFont val="Tahoma"/>
            <family val="2"/>
          </rPr>
          <t>Kenneth W. Krejcik:</t>
        </r>
        <r>
          <rPr>
            <sz val="9"/>
            <color indexed="81"/>
            <rFont val="Tahoma"/>
            <family val="2"/>
          </rPr>
          <t xml:space="preserve">
Only found a sole, signed by Supply Chain – check with Dawn Moog</t>
        </r>
      </text>
    </comment>
    <comment ref="G135" authorId="0" shapeId="0" xr:uid="{42712D5C-703F-46FC-9DED-992B7A20C1F2}">
      <text>
        <r>
          <rPr>
            <b/>
            <sz val="9"/>
            <color indexed="81"/>
            <rFont val="Tahoma"/>
            <family val="2"/>
          </rPr>
          <t>Kenneth W. Krejcik:</t>
        </r>
        <r>
          <rPr>
            <sz val="9"/>
            <color indexed="81"/>
            <rFont val="Tahoma"/>
            <family val="2"/>
          </rPr>
          <t xml:space="preserve">
 Check with Joe Slat</t>
        </r>
      </text>
    </comment>
    <comment ref="G136" authorId="0" shapeId="0" xr:uid="{BF1F4947-D438-4276-89E7-FB22EA6B958F}">
      <text>
        <r>
          <rPr>
            <b/>
            <sz val="9"/>
            <color indexed="81"/>
            <rFont val="Tahoma"/>
            <family val="2"/>
          </rPr>
          <t>Kenneth W. Krejcik:</t>
        </r>
        <r>
          <rPr>
            <sz val="9"/>
            <color indexed="81"/>
            <rFont val="Tahoma"/>
            <family val="2"/>
          </rPr>
          <t xml:space="preserve">
Michael Bristor</t>
        </r>
      </text>
    </comment>
    <comment ref="G137" authorId="0" shapeId="0" xr:uid="{A40A700B-4C80-4743-888C-5F1F304993D7}">
      <text>
        <r>
          <rPr>
            <b/>
            <sz val="9"/>
            <color indexed="81"/>
            <rFont val="Tahoma"/>
            <family val="2"/>
          </rPr>
          <t>Kenneth W. Krejcik:</t>
        </r>
        <r>
          <rPr>
            <sz val="9"/>
            <color indexed="81"/>
            <rFont val="Tahoma"/>
            <family val="2"/>
          </rPr>
          <t xml:space="preserve">
No Contracts found in Ariba Unsure where to check so try:
Angela Llorens
Frank J. Gerzetich
Bruce Vida Jr
Michelle Savicki
Jennifer Roberts
</t>
        </r>
      </text>
    </comment>
    <comment ref="G138" authorId="0" shapeId="0" xr:uid="{E37E2D5C-9DD9-4A5C-AFF4-EEDBE10619BF}">
      <text>
        <r>
          <rPr>
            <b/>
            <sz val="9"/>
            <color indexed="81"/>
            <rFont val="Tahoma"/>
            <family val="2"/>
          </rPr>
          <t>Kenneth W. Krejcik:</t>
        </r>
        <r>
          <rPr>
            <sz val="9"/>
            <color indexed="81"/>
            <rFont val="Tahoma"/>
            <family val="2"/>
          </rPr>
          <t xml:space="preserve">
Brian Rich (signed MSA)
</t>
        </r>
      </text>
    </comment>
    <comment ref="G139" authorId="0" shapeId="0" xr:uid="{98EA7258-A044-428B-BB63-530AF61CBB15}">
      <text>
        <r>
          <rPr>
            <b/>
            <sz val="9"/>
            <color indexed="81"/>
            <rFont val="Tahoma"/>
            <family val="2"/>
          </rPr>
          <t>Kenneth W. Krejcik:</t>
        </r>
        <r>
          <rPr>
            <sz val="9"/>
            <color indexed="81"/>
            <rFont val="Tahoma"/>
            <family val="2"/>
          </rPr>
          <t xml:space="preserve">
Check with Lisa DeBuck, signor was Chris Fultz</t>
        </r>
      </text>
    </comment>
    <comment ref="G140" authorId="0" shapeId="0" xr:uid="{5BD510C8-7DBB-4566-8284-76571C6452D6}">
      <text>
        <r>
          <rPr>
            <b/>
            <sz val="9"/>
            <color indexed="81"/>
            <rFont val="Tahoma"/>
            <family val="2"/>
          </rPr>
          <t>Kenneth W. Krejcik:</t>
        </r>
        <r>
          <rPr>
            <sz val="9"/>
            <color indexed="81"/>
            <rFont val="Tahoma"/>
            <family val="2"/>
          </rPr>
          <t xml:space="preserve">
Check with Lisa DeBuck, signor was Chris Fultz</t>
        </r>
      </text>
    </comment>
    <comment ref="G141" authorId="0" shapeId="0" xr:uid="{D39262B9-FD01-496C-9BFB-AC1234DAA969}">
      <text>
        <r>
          <rPr>
            <b/>
            <sz val="9"/>
            <color indexed="81"/>
            <rFont val="Tahoma"/>
            <family val="2"/>
          </rPr>
          <t>Kenneth W. Krejcik:</t>
        </r>
        <r>
          <rPr>
            <sz val="9"/>
            <color indexed="81"/>
            <rFont val="Tahoma"/>
            <family val="2"/>
          </rPr>
          <t xml:space="preserve">
No contracts found in Ariba.  Check with Michelle Savicki or Bruce Vida Jr</t>
        </r>
      </text>
    </comment>
    <comment ref="G142" authorId="0" shapeId="0" xr:uid="{E57D0FBE-F5F4-408A-85E3-69C35A1E0336}">
      <text>
        <r>
          <rPr>
            <b/>
            <sz val="9"/>
            <color indexed="81"/>
            <rFont val="Tahoma"/>
            <family val="2"/>
          </rPr>
          <t>Kenneth W. Krejcik:</t>
        </r>
        <r>
          <rPr>
            <sz val="9"/>
            <color indexed="81"/>
            <rFont val="Tahoma"/>
            <family val="2"/>
          </rPr>
          <t xml:space="preserve">
No Contracts found in Ariba – check with Michelle Savicki</t>
        </r>
      </text>
    </comment>
    <comment ref="G143" authorId="0" shapeId="0" xr:uid="{7BBA926D-C2E1-427A-8B1A-FEBE04BE984E}">
      <text>
        <r>
          <rPr>
            <b/>
            <sz val="9"/>
            <color indexed="81"/>
            <rFont val="Tahoma"/>
            <family val="2"/>
          </rPr>
          <t>Kenneth W. Krejcik:</t>
        </r>
        <r>
          <rPr>
            <sz val="9"/>
            <color indexed="81"/>
            <rFont val="Tahoma"/>
            <family val="2"/>
          </rPr>
          <t xml:space="preserve">
No Contracts found in Ariba – check with Michelle Savicki</t>
        </r>
      </text>
    </comment>
    <comment ref="G144" authorId="0" shapeId="0" xr:uid="{6C20BF4D-56A6-47AF-8143-030D0687FB2F}">
      <text>
        <r>
          <rPr>
            <b/>
            <sz val="9"/>
            <color indexed="81"/>
            <rFont val="Tahoma"/>
            <family val="2"/>
          </rPr>
          <t>Kenneth W. Krejcik:</t>
        </r>
        <r>
          <rPr>
            <sz val="9"/>
            <color indexed="81"/>
            <rFont val="Tahoma"/>
            <family val="2"/>
          </rPr>
          <t xml:space="preserve">
Check with Joe Slat, signor was Chris Laird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Susana V DeBiasi</author>
    <author>Kenneth W. Krejcik</author>
  </authors>
  <commentList>
    <comment ref="W1" authorId="0" shapeId="0" xr:uid="{5472A4DD-8BAC-4FA0-9447-8F0075CF225D}">
      <text>
        <r>
          <rPr>
            <b/>
            <sz val="9"/>
            <color indexed="81"/>
            <rFont val="Tahoma"/>
            <family val="2"/>
          </rPr>
          <t>Susana V DeBiasi:</t>
        </r>
        <r>
          <rPr>
            <sz val="9"/>
            <color indexed="81"/>
            <rFont val="Tahoma"/>
            <family val="2"/>
          </rPr>
          <t xml:space="preserve">
Internal flag to identify vendors:
Have long lead times to engage (testing, remediation, etc)
Require a SOW (update the SOW column too)</t>
        </r>
      </text>
    </comment>
    <comment ref="B2" authorId="1" shapeId="0" xr:uid="{D8E3341B-923D-4830-B661-812B4F405DBB}">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2" authorId="1" shapeId="0" xr:uid="{54AEC78F-FEED-4491-8A79-C6F4F3E4B729}">
      <text>
        <r>
          <rPr>
            <b/>
            <sz val="9"/>
            <color indexed="81"/>
            <rFont val="Tahoma"/>
            <family val="2"/>
          </rPr>
          <t>Kenneth W. Krejcik:</t>
        </r>
        <r>
          <rPr>
            <sz val="9"/>
            <color indexed="81"/>
            <rFont val="Tahoma"/>
            <family val="2"/>
          </rPr>
          <t xml:space="preserve">
No contracts found in Ariba.  Check with Michelle Savicki or Bruce Vida Jr</t>
        </r>
      </text>
    </comment>
    <comment ref="I2" authorId="1" shapeId="0" xr:uid="{4A9C82FD-AC78-4DDB-B33B-58707BFB1C67}">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F6" authorId="1" shapeId="0" xr:uid="{4817FB0C-5C73-465D-BF18-5273045E8839}">
      <text>
        <r>
          <rPr>
            <sz val="11"/>
            <color theme="1"/>
            <rFont val="Aptos Narrow"/>
            <family val="2"/>
            <scheme val="minor"/>
          </rPr>
          <t xml:space="preserve">Kenneth W. Krejcik:
Hi Kenneth,
ACF Global Logistics has requested introductory reading materials and a high-level overview of Consumers Energy’s S/4HANA system and API integration approach. Their team is preparing for the rescheduled meeting next week and would appreciate receiving this information as soon as possible to ensure they are well-prepared.
Greg, the two IT team members, noted that they are new to the role and are seeking clarity on what Consumers Energy’s IT teams expect from their organization in terms of system compatibility and integration. While ACF Global Logistics is not currently using S/4HANA with other clients, they do support API-based integrations and have customers actively migrating to API platforms.
To help bring their two new IT team members up to speed, they are specifically looking for:
•	A high-level synopsis of Consumers Energy’s 3PL freight process
•	Key stages and timelines associated with the S/4HANA migration
•	Expectations for API usage and integration points
Please let me know if you can provide documentation or a summary that addresses these areas. Your support will help ensure alignment and a productive discussion in the upcoming meeting.
Thank you, Kenneth!
Katrina
</t>
        </r>
      </text>
    </comment>
    <comment ref="O6" authorId="1" shapeId="0" xr:uid="{B4BBDAA1-5978-4E2E-A126-277257C041BD}">
      <text>
        <r>
          <rPr>
            <b/>
            <sz val="9"/>
            <color indexed="81"/>
            <rFont val="Tahoma"/>
            <family val="2"/>
          </rPr>
          <t>Kenneth W. Krejcik:</t>
        </r>
        <r>
          <rPr>
            <sz val="9"/>
            <color indexed="81"/>
            <rFont val="Tahoma"/>
            <family val="2"/>
          </rPr>
          <t xml:space="preserve">
Medium if moving from existing flat file to APIs
----------------------------------------------------
9/5/2025
Hello – sorry you did not get my decline with comments notice from 9/4, but thanks for continuing the meeting and taking notes.  I believe we have what we need for now from the CE and project side of things.  Being that we have not yet selected a system integrator, are still in contract negotiations with SAP, and the project is not expected to officially begin until end of this year or early next year, I feel it is too early to get into the details at this stage.  We should wait until things have progressed a bit more.  If the vendor really wants to meet, we can meet with them, but I would not be able to address bullet 1 (not sure who can), could partially speculate on bullet 2, and am still awaiting clarity from the Technical Team on bullet 3 for when we get to the next level of discussions on each of these interfaces.  
For me the key takeaways are:
• ACF Global Logistics is not using S/4HANA or aware of other clients using S/4HANA (based on the content we exchange with them, this likely is not a big risk/concern)
• They do support API-based integrations which means we will want to revisit that in the future to assess the effort, impact, and benefits of moving to that 
• Assuming we move forward with a change to use APIs, I will note that there could be vendor, SOW, and cost implications to doing so, but that this will have to be confirmed in the future 
</t>
        </r>
      </text>
    </comment>
    <comment ref="B7" authorId="1" shapeId="0" xr:uid="{FCFDA605-58AD-4E18-A0FC-4BD581591104}">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7" authorId="1" shapeId="0" xr:uid="{9690380B-7EE3-4609-BB79-E3482DABCAF4}">
      <text>
        <r>
          <rPr>
            <b/>
            <sz val="9"/>
            <color indexed="81"/>
            <rFont val="Tahoma"/>
            <family val="2"/>
          </rPr>
          <t>Kenneth W. Krejcik:</t>
        </r>
        <r>
          <rPr>
            <sz val="9"/>
            <color indexed="81"/>
            <rFont val="Tahoma"/>
            <family val="2"/>
          </rPr>
          <t xml:space="preserve">
No contracts found in Ariba.  Check with Michelle Savicki or Bruce Vida Jr</t>
        </r>
      </text>
    </comment>
    <comment ref="I7" authorId="1" shapeId="0" xr:uid="{666D5359-0D7B-46A8-85E7-A31A6304654A}">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32" authorId="1" shapeId="0" xr:uid="{A8F545B0-1967-4B44-BEA5-95AF53818BEA}">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32" authorId="1" shapeId="0" xr:uid="{37715BED-99A4-4364-A6D2-5A4E39F261A9}">
      <text>
        <r>
          <rPr>
            <b/>
            <sz val="9"/>
            <color indexed="81"/>
            <rFont val="Tahoma"/>
            <family val="2"/>
          </rPr>
          <t>Kenneth W. Krejcik:</t>
        </r>
        <r>
          <rPr>
            <sz val="9"/>
            <color indexed="81"/>
            <rFont val="Tahoma"/>
            <family val="2"/>
          </rPr>
          <t xml:space="preserve">
Lisa Hibbler </t>
        </r>
      </text>
    </comment>
    <comment ref="I32" authorId="1" shapeId="0" xr:uid="{543DFAAE-DDAE-4BEE-95BF-F16E37A35A5D}">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39" authorId="1" shapeId="0" xr:uid="{EEDC224B-6A1C-4E16-A69B-7E48EFDEFE98}">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39" authorId="1" shapeId="0" xr:uid="{208FB53D-9F2A-4F4C-B0F7-7DE799C6E8F0}">
      <text>
        <r>
          <rPr>
            <b/>
            <sz val="9"/>
            <color indexed="81"/>
            <rFont val="Tahoma"/>
            <family val="2"/>
          </rPr>
          <t>Kenneth W. Krejcik:</t>
        </r>
        <r>
          <rPr>
            <sz val="9"/>
            <color indexed="81"/>
            <rFont val="Tahoma"/>
            <family val="2"/>
          </rPr>
          <t xml:space="preserve">
Lisa Hibbler </t>
        </r>
      </text>
    </comment>
    <comment ref="I39" authorId="1" shapeId="0" xr:uid="{96404296-4663-43B3-9A1C-E32ACE5C1F44}">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51" authorId="1" shapeId="0" xr:uid="{5D62D3DF-3F79-4177-8104-CF41DE6CE98A}">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51" authorId="1" shapeId="0" xr:uid="{2AB14CA4-EA86-43E8-8C7D-6BA809420FC9}">
      <text>
        <r>
          <rPr>
            <b/>
            <sz val="9"/>
            <color indexed="81"/>
            <rFont val="Tahoma"/>
            <family val="2"/>
          </rPr>
          <t>Kenneth W. Krejcik:</t>
        </r>
        <r>
          <rPr>
            <sz val="9"/>
            <color indexed="81"/>
            <rFont val="Tahoma"/>
            <family val="2"/>
          </rPr>
          <t xml:space="preserve">
Only found a sole, signed by Supply Chain – check with Dawn Moog</t>
        </r>
      </text>
    </comment>
    <comment ref="I51" authorId="1" shapeId="0" xr:uid="{D8238584-A397-4706-9DE4-D09285988D87}">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70" authorId="1" shapeId="0" xr:uid="{D042B8AC-76CF-40E7-9518-0AB7017298D2}">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70" authorId="1" shapeId="0" xr:uid="{C57B8502-2FC7-4484-915F-49F4D2097FB7}">
      <text>
        <r>
          <rPr>
            <b/>
            <sz val="9"/>
            <color indexed="81"/>
            <rFont val="Tahoma"/>
            <family val="2"/>
          </rPr>
          <t>Kenneth W. Krejcik:</t>
        </r>
        <r>
          <rPr>
            <sz val="9"/>
            <color indexed="81"/>
            <rFont val="Tahoma"/>
            <family val="2"/>
          </rPr>
          <t xml:space="preserve">
 Check with Joe Slat</t>
        </r>
      </text>
    </comment>
    <comment ref="I70" authorId="1" shapeId="0" xr:uid="{14182ECA-14B3-45BA-95E2-C19C755C8858}">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84" authorId="1" shapeId="0" xr:uid="{E8DC9B15-8139-43C8-ACFE-EF43B927F2A3}">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84" authorId="1" shapeId="0" xr:uid="{8B23DFFA-9211-48EC-B0B7-D2E3B1E5A203}">
      <text>
        <r>
          <rPr>
            <b/>
            <sz val="9"/>
            <color indexed="81"/>
            <rFont val="Tahoma"/>
            <family val="2"/>
          </rPr>
          <t>Kenneth W. Krejcik:</t>
        </r>
        <r>
          <rPr>
            <sz val="9"/>
            <color indexed="81"/>
            <rFont val="Tahoma"/>
            <family val="2"/>
          </rPr>
          <t xml:space="preserve">
Michael Bristor</t>
        </r>
      </text>
    </comment>
    <comment ref="I84" authorId="1" shapeId="0" xr:uid="{AF59D454-CF22-4133-A2A9-E0DFFF65EC73}">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85" authorId="1" shapeId="0" xr:uid="{630EB827-3F1B-484A-B085-918669E27069}">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85" authorId="1" shapeId="0" xr:uid="{E446E99F-EBDC-4B37-A4D6-0517D2A07A3D}">
      <text>
        <r>
          <rPr>
            <b/>
            <sz val="9"/>
            <color indexed="81"/>
            <rFont val="Tahoma"/>
            <family val="2"/>
          </rPr>
          <t>Kenneth W. Krejcik:</t>
        </r>
        <r>
          <rPr>
            <sz val="9"/>
            <color indexed="81"/>
            <rFont val="Tahoma"/>
            <family val="2"/>
          </rPr>
          <t xml:space="preserve">
No Contracts found in Ariba Unsure where to check so try:
Angela Llorens
Frank J. Gerzetich
Bruce Vida Jr
Michelle Savicki
Jennifer Roberts
</t>
        </r>
      </text>
    </comment>
    <comment ref="I85" authorId="1" shapeId="0" xr:uid="{BEF7F6CC-E4B6-4401-9140-C52C7C73AAF7}">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90" authorId="1" shapeId="0" xr:uid="{5EBCF605-521F-41D8-80EA-AB9B251B63B0}">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90" authorId="1" shapeId="0" xr:uid="{DD70399D-383E-4D27-AA94-B5D650F921DF}">
      <text>
        <r>
          <rPr>
            <b/>
            <sz val="9"/>
            <color indexed="81"/>
            <rFont val="Tahoma"/>
            <family val="2"/>
          </rPr>
          <t>Kenneth W. Krejcik:</t>
        </r>
        <r>
          <rPr>
            <sz val="9"/>
            <color indexed="81"/>
            <rFont val="Tahoma"/>
            <family val="2"/>
          </rPr>
          <t xml:space="preserve">
Brian Rich (signed MSA)
</t>
        </r>
      </text>
    </comment>
    <comment ref="I90" authorId="1" shapeId="0" xr:uid="{8C8143EC-9C05-43CC-81D9-4FB050078845}">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94" authorId="1" shapeId="0" xr:uid="{CCA6C39F-F9A5-4495-880D-1890E5BCEAFC}">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94" authorId="1" shapeId="0" xr:uid="{321B6C39-3E70-4BC8-85ED-E0587AE130C9}">
      <text>
        <r>
          <rPr>
            <b/>
            <sz val="9"/>
            <color indexed="81"/>
            <rFont val="Tahoma"/>
            <family val="2"/>
          </rPr>
          <t>Kenneth W. Krejcik:</t>
        </r>
        <r>
          <rPr>
            <sz val="9"/>
            <color indexed="81"/>
            <rFont val="Tahoma"/>
            <family val="2"/>
          </rPr>
          <t xml:space="preserve">
Check with Lisa DeBuck, signor was Chris Fultz</t>
        </r>
      </text>
    </comment>
    <comment ref="I94" authorId="1" shapeId="0" xr:uid="{077DAF1F-5BD2-4A67-A78F-65AA9A9B20B4}">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95" authorId="1" shapeId="0" xr:uid="{5A3E78E6-7DF3-4D28-91AC-E1B9DFF45E2F}">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95" authorId="1" shapeId="0" xr:uid="{8BFF256D-595B-4D60-9A1D-8CE5F39D1D48}">
      <text>
        <r>
          <rPr>
            <b/>
            <sz val="9"/>
            <color indexed="81"/>
            <rFont val="Tahoma"/>
            <family val="2"/>
          </rPr>
          <t>Kenneth W. Krejcik:</t>
        </r>
        <r>
          <rPr>
            <sz val="9"/>
            <color indexed="81"/>
            <rFont val="Tahoma"/>
            <family val="2"/>
          </rPr>
          <t xml:space="preserve">
Check with Lisa DeBuck, signor was Chris Fultz</t>
        </r>
      </text>
    </comment>
    <comment ref="I95" authorId="1" shapeId="0" xr:uid="{F4C8E021-3C9C-46A6-BD94-A9FD7A4A8EF1}">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103" authorId="1" shapeId="0" xr:uid="{AA76254C-644D-4924-8FE9-9D52C4B5592D}">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103" authorId="1" shapeId="0" xr:uid="{1F3F293D-C110-4D47-A59B-7312EB1C250D}">
      <text>
        <r>
          <rPr>
            <b/>
            <sz val="9"/>
            <color indexed="81"/>
            <rFont val="Tahoma"/>
            <family val="2"/>
          </rPr>
          <t>Kenneth W. Krejcik:</t>
        </r>
        <r>
          <rPr>
            <sz val="9"/>
            <color indexed="81"/>
            <rFont val="Tahoma"/>
            <family val="2"/>
          </rPr>
          <t xml:space="preserve">
No contracts found in Ariba.  Check with Michelle Savicki or Bruce Vida Jr</t>
        </r>
      </text>
    </comment>
    <comment ref="I103" authorId="1" shapeId="0" xr:uid="{D00F9891-7325-4F25-9D29-89B691E3897A}">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133" authorId="1" shapeId="0" xr:uid="{5A729B63-D46C-4D4E-ABD7-030581FFE749}">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133" authorId="1" shapeId="0" xr:uid="{5505AB4A-D36A-492E-8B3A-7DFDF647295B}">
      <text>
        <r>
          <rPr>
            <b/>
            <sz val="9"/>
            <color indexed="81"/>
            <rFont val="Tahoma"/>
            <family val="2"/>
          </rPr>
          <t>Kenneth W. Krejcik:</t>
        </r>
        <r>
          <rPr>
            <sz val="9"/>
            <color indexed="81"/>
            <rFont val="Tahoma"/>
            <family val="2"/>
          </rPr>
          <t xml:space="preserve">
No Contracts found in Ariba – check with Michelle Savicki</t>
        </r>
      </text>
    </comment>
    <comment ref="I133" authorId="1" shapeId="0" xr:uid="{98F7A1C7-F523-4F94-B42A-C6D9228C28E8}">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134" authorId="1" shapeId="0" xr:uid="{428ADAC1-8C62-49A4-960D-1D1497BE2D01}">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134" authorId="1" shapeId="0" xr:uid="{F7C8D704-4D53-490B-9DAF-4D10FB9D7E36}">
      <text>
        <r>
          <rPr>
            <b/>
            <sz val="9"/>
            <color indexed="81"/>
            <rFont val="Tahoma"/>
            <family val="2"/>
          </rPr>
          <t>Kenneth W. Krejcik:</t>
        </r>
        <r>
          <rPr>
            <sz val="9"/>
            <color indexed="81"/>
            <rFont val="Tahoma"/>
            <family val="2"/>
          </rPr>
          <t xml:space="preserve">
No Contracts found in Ariba – check with Michelle Savicki</t>
        </r>
      </text>
    </comment>
    <comment ref="I134" authorId="1" shapeId="0" xr:uid="{DF7FFCC5-8206-49A7-9DD7-A8A973F0ACC7}">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B147" authorId="1" shapeId="0" xr:uid="{90DC300D-F49E-4137-BA95-418CFA0483DB}">
      <text>
        <r>
          <rPr>
            <b/>
            <sz val="9"/>
            <color indexed="81"/>
            <rFont val="Tahoma"/>
            <family val="2"/>
          </rPr>
          <t>Kenneth W. Krejcik:</t>
        </r>
        <r>
          <rPr>
            <sz val="9"/>
            <color indexed="81"/>
            <rFont val="Tahoma"/>
            <family val="2"/>
          </rPr>
          <t xml:space="preserve">
June 2025: Current Active List is approximately 15, but the business is planning to add 10 more</t>
        </r>
      </text>
    </comment>
    <comment ref="F147" authorId="1" shapeId="0" xr:uid="{5561A8AE-98AF-4BF5-A38B-24FDC8A25ED9}">
      <text>
        <r>
          <rPr>
            <b/>
            <sz val="9"/>
            <color indexed="81"/>
            <rFont val="Tahoma"/>
            <family val="2"/>
          </rPr>
          <t>Kenneth W. Krejcik:</t>
        </r>
        <r>
          <rPr>
            <sz val="9"/>
            <color indexed="81"/>
            <rFont val="Tahoma"/>
            <family val="2"/>
          </rPr>
          <t xml:space="preserve">
Check with Joe Slat, signor was Chris Laird</t>
        </r>
      </text>
    </comment>
    <comment ref="I147" authorId="1" shapeId="0" xr:uid="{AC6AB56F-8D46-4A47-8C0F-9EE2FD6D088B}">
      <text>
        <r>
          <rPr>
            <b/>
            <sz val="9"/>
            <color indexed="81"/>
            <rFont val="Tahoma"/>
            <family val="2"/>
          </rPr>
          <t>Kenneth W. Krejcik:</t>
        </r>
        <r>
          <rPr>
            <sz val="9"/>
            <color indexed="81"/>
            <rFont val="Tahoma"/>
            <family val="2"/>
          </rPr>
          <t xml:space="preserve">
EDI upgrade to move away from BizTalk is being handled as a standalone effort, but we likely will want to retes with some or all of our EDI vendors once we are in S/4.  We think the risk of cost implications is low.</t>
        </r>
      </text>
    </comment>
    <comment ref="G190" authorId="1" shapeId="0" xr:uid="{3F1EFD00-C0EA-4315-8513-8B185C8B28C4}">
      <text>
        <r>
          <rPr>
            <b/>
            <sz val="9"/>
            <color indexed="81"/>
            <rFont val="Tahoma"/>
            <family val="2"/>
          </rPr>
          <t>Kenneth W. Krejcik:</t>
        </r>
        <r>
          <rPr>
            <sz val="9"/>
            <color indexed="81"/>
            <rFont val="Tahoma"/>
            <family val="2"/>
          </rPr>
          <t xml:space="preserve">
9/3/2025
Hi Ken,
Please see responses below and let me know if it would be helpful to meet with our product team to discuss!
• Do you have other customers already using SAP S/4? Yes, we do 
• Are you aware of any changes that are typically made to the integrations as part of other customers moves to SAP S/4?  Please explain.  There is the option to update the data extract when a customer moves over to S/4 HANA and we would recommend that Consumers do this to send a more complete report of their spend data.  For example, an updated extract could include cost center, unit price and business unit.    
• Are you able to accommodate the use of APIs as part of your integration architecture?  Please explain.  We have an API we are starting to roll out for customers to receive their spend data after we have cleansed it to be able to integrate the enriched data into their own data lake or system – this should be available in the coming months for Consumers.  We do not use an API to collect spend data for the refresh, although a customer can automate the upload to an SFTP site that we can then pull the data down from.
Best,
Isabel 
-----------------------------------------------------------------------
8/28/2025
Hello Isabel – I was provided your contact information from Jennifer Dreffs.  Please feel free to respond via email or we can set up a meeting to discuss if you prefer.  
We are in the very early stage of our journey to move to SAP S/4 and wanted to touch base with you because we have a few questions about our SAP to Wood Mackenzie PowerAdvocate file-based interfaces.    
File Name (BizTalk)                     Target                Inbound/Outbound
SC_PowerAdvocate_PCard_*.csv    PowerAdvocate    Outbound
SC_PowerAdvocate_TE_*.csv        PowerAdvocate    Outbound
CE_Ariba_SV_SAP_*.zip                PowerAdvocate    Outbound
• Do you have other customers already using SAP S/4?
• Are you aware of any changes that are typically made to the integrations as part of other customers moves to SAP S/4?  Please explain.  
• Are you able to accommodate the use of APIs as part of your integration architecture?  Please explain.  
We appreciate your help and look forward to further discussions.
Thank you,
Ken Krejcik
Consumers Energy
Customer Experience &amp; Technology-Applications &amp; Analytics
Launchpad-SAP S/4 Supply Chain Technical Lead
Principal Product Architect</t>
        </r>
      </text>
    </comment>
    <comment ref="M190" authorId="1" shapeId="0" xr:uid="{347BB255-F998-46AD-BEB4-FB0E5E0711FF}">
      <text>
        <r>
          <rPr>
            <b/>
            <sz val="9"/>
            <color indexed="81"/>
            <rFont val="Tahoma"/>
            <family val="2"/>
          </rPr>
          <t>Kenneth W. Krejcik:</t>
        </r>
        <r>
          <rPr>
            <sz val="9"/>
            <color indexed="81"/>
            <rFont val="Tahoma"/>
            <family val="2"/>
          </rPr>
          <t xml:space="preserve">
Medium if having to change from file based to API based, but vendor does not support APIs for ingestion of data.
</t>
        </r>
      </text>
    </comment>
    <comment ref="O190" authorId="1" shapeId="0" xr:uid="{D1078B81-C433-4097-AB00-2714F37912F1}">
      <text>
        <r>
          <rPr>
            <b/>
            <sz val="9"/>
            <color indexed="81"/>
            <rFont val="Tahoma"/>
            <family val="2"/>
          </rPr>
          <t>Kenneth W. Krejcik:</t>
        </r>
        <r>
          <rPr>
            <sz val="9"/>
            <color indexed="81"/>
            <rFont val="Tahoma"/>
            <family val="2"/>
          </rPr>
          <t xml:space="preserve">
•Already have other customers using SAP S/4
•There is the option to update the data extract when a customer moves over to S/4 HANA and we would recommend that Consumers do this to send a more complete report of their spend data.  For example, an updated extract could include cost center, unit price and business unit.    
•Do Not have APIs for ingesting data. We have an API we are starting to roll out for customers to receive their spend data after we have cleansed it to be able to integrate the enriched data into their own data lake or system – this should be available in the coming months for Consumers.  We do not use an API to collect spend data for the refresh, although a customer can automate the upload to an SFTP site that we can then pull the data down from.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<sst xmlns="http://schemas.openxmlformats.org/spreadsheetml/2006/main" count="9590" uniqueCount="1943">
  <si>
    <t>Vendor</t>
  </si>
  <si>
    <t>Product Name</t>
  </si>
  <si>
    <t>Decision Point</t>
  </si>
  <si>
    <t>Estimated Product Cost</t>
  </si>
  <si>
    <t>Estimated Implementation Cost</t>
  </si>
  <si>
    <t>Estimate Confidence (%)</t>
  </si>
  <si>
    <t>Benefits</t>
  </si>
  <si>
    <t>Estimated Savings</t>
  </si>
  <si>
    <t>Savings Confidence (%)</t>
  </si>
  <si>
    <t>Comments</t>
  </si>
  <si>
    <t>SAP</t>
  </si>
  <si>
    <t>Financial Closing Cockpit</t>
  </si>
  <si>
    <t>Are we going to purchase this additional component?</t>
  </si>
  <si>
    <t>Concur</t>
  </si>
  <si>
    <t>Are we going to purchase and implement this additional component?</t>
  </si>
  <si>
    <t>I don't consider this as an additional component because SAP has no alternative</t>
  </si>
  <si>
    <t>SuccessFactor Employee Central Payroll</t>
  </si>
  <si>
    <t>Workforce</t>
  </si>
  <si>
    <t>Workforce Time Management</t>
  </si>
  <si>
    <t>SuccessFactor Joule (AI)</t>
  </si>
  <si>
    <t>Details for Count of Vendor</t>
  </si>
  <si>
    <t xml:space="preserve">Application Name </t>
  </si>
  <si>
    <t xml:space="preserve">Integration Middleware Name (PO, ESB, Biztalk, Axway etc.) </t>
  </si>
  <si>
    <t>Workstream</t>
  </si>
  <si>
    <t>Relationship Owner</t>
  </si>
  <si>
    <t>Vendor Contact</t>
  </si>
  <si>
    <t>Vendor Communication Initiated</t>
  </si>
  <si>
    <t>S/4 or SuccessFactors Compatible (Y/N)</t>
  </si>
  <si>
    <t>Vendor engagement needed</t>
  </si>
  <si>
    <t>Upgrade Needed</t>
  </si>
  <si>
    <t>Application Changes Needed</t>
  </si>
  <si>
    <t>Interface Changes Needed</t>
  </si>
  <si>
    <t>SOW Required</t>
  </si>
  <si>
    <t>Estimated Cost</t>
  </si>
  <si>
    <t>Kubra</t>
  </si>
  <si>
    <t>2WCC</t>
  </si>
  <si>
    <t>Customer-Contact Ctr</t>
  </si>
  <si>
    <t>Russell Hanshue; Nicholas Sheldon for PTR/CPP</t>
  </si>
  <si>
    <t>Kevin Hoekman - Sr Client Success Manager, kevin.hoekman@kubra.com, 437-229-2627</t>
  </si>
  <si>
    <t>Y</t>
  </si>
  <si>
    <t>Yes</t>
  </si>
  <si>
    <t>8/4 KUBRA has clients on S/4; they fully support. Best if there are no data or formatting changes, but if it does, KUBRA can make any modifications. As for file transfer, KUBRA can support API's in place of SFTP.</t>
  </si>
  <si>
    <t>Harris &amp; Harris</t>
  </si>
  <si>
    <t>3rd Party Contact Center</t>
  </si>
  <si>
    <t>NA</t>
  </si>
  <si>
    <t>Marcy Stump</t>
  </si>
  <si>
    <t>Sasha Elliot - Sr Account Executive, selliot@harriscollect.com, 216-401-2928
Carol Yakel - Contact Center Director - cyakel@harriscollect.com, 585-409-1207
Bryan Albertson - CIO, balbertson@harriscollect.com, 630-625-2024
Bob Mudd - bmudd@harriscollect.com
Jamie Mieleneczek - jmielneczek@harriscollect.com</t>
  </si>
  <si>
    <t xml:space="preserve">7/1/25 - Sasha added in Bob Mudd and Jamie Mielneczek </t>
  </si>
  <si>
    <t>Absence Plus (Replacing Reed Group)</t>
  </si>
  <si>
    <t>Absence Plus</t>
  </si>
  <si>
    <t>P&amp;C</t>
  </si>
  <si>
    <t>Peter Miller</t>
  </si>
  <si>
    <t>Business Partner: Rebecca Parris</t>
  </si>
  <si>
    <t>Blackline</t>
  </si>
  <si>
    <t>Account Reconciliation</t>
  </si>
  <si>
    <t>Finance</t>
  </si>
  <si>
    <t>Anita Blaj</t>
  </si>
  <si>
    <t>ACF GLOBAL LOGISTICS LLC (20032760)</t>
  </si>
  <si>
    <t>ACF Global Logistics</t>
  </si>
  <si>
    <t>SC_INT_090 - PO and BizTalk Outbound to ACF
•	Per Vas, he has Roger Deaver as a contact roger@4c-it.com (not sure if you have someone different)
•	DFX SFX Incoterms triggers the Outbound PO file to ACF (SC_INT_090)
•	ACF then sends us an Inbound Invoice file (FI_INT_880)</t>
  </si>
  <si>
    <t>Supply Chain</t>
  </si>
  <si>
    <t>Lisa Hibbler; Katrina Ramsey</t>
  </si>
  <si>
    <t>?</t>
  </si>
  <si>
    <t>Y-Likely</t>
  </si>
  <si>
    <t>Not Likely</t>
  </si>
  <si>
    <t>Possibly</t>
  </si>
  <si>
    <t>Not Sure</t>
  </si>
  <si>
    <t>Not provided any cost impact or estimate, but the vendor indicated they could support APIs if we wanted to move that direction which may then have SOW or cost implications.</t>
  </si>
  <si>
    <t>AspenTech (OSII)</t>
  </si>
  <si>
    <t>ADMS</t>
  </si>
  <si>
    <t>PO, Tibco ESB</t>
  </si>
  <si>
    <t>WAM</t>
  </si>
  <si>
    <t>Krishna Karunakaram</t>
  </si>
  <si>
    <t>ADMS DMS</t>
  </si>
  <si>
    <t>ADMS OMS</t>
  </si>
  <si>
    <t>Alteryx</t>
  </si>
  <si>
    <t>Dennis Mickel</t>
  </si>
  <si>
    <t>N/A</t>
  </si>
  <si>
    <t>N</t>
  </si>
  <si>
    <t>Changes needed will be made by CE resources.</t>
  </si>
  <si>
    <t>ESRI</t>
  </si>
  <si>
    <t>ArcGIS Enterprise</t>
  </si>
  <si>
    <t>Matthew R. Faunt
 &lt;MATTHEW.FAUNT@cmsenergy.com&gt;
GIS Platform Administration
CX&amp;T-IT-Gas Supply &amp; Asset Management 
C: 517-243-0454</t>
  </si>
  <si>
    <t>ArcGIS Mobile</t>
  </si>
  <si>
    <t>ArcGIS Online AGOL</t>
  </si>
  <si>
    <t>ARCOS</t>
  </si>
  <si>
    <t>PO, Azure APIM</t>
  </si>
  <si>
    <t>Amanda Gomez</t>
  </si>
  <si>
    <t>ASI</t>
  </si>
  <si>
    <t>Cheri Clark</t>
  </si>
  <si>
    <t>OnCourse Home Solutions (OHS)</t>
  </si>
  <si>
    <t>ASP</t>
  </si>
  <si>
    <t>Integration</t>
  </si>
  <si>
    <t>Stephanie Tucker</t>
  </si>
  <si>
    <t xml:space="preserve">Yashodhara Neerukonda yashodhara.neerukonda@oncoursehome.com Sr. Manager – Strategic Partnerships </t>
  </si>
  <si>
    <t>7/17 TAW - I sent an email to Stephanie requesting contact information for OHS</t>
  </si>
  <si>
    <t>Aspire</t>
  </si>
  <si>
    <t>Business Partner: Krista Jared</t>
  </si>
  <si>
    <t>Bentley</t>
  </si>
  <si>
    <t>Bentley CONNECTION Client</t>
  </si>
  <si>
    <t>PO</t>
  </si>
  <si>
    <t>Abbie J. Egherman &lt;ABBIE.EGHERMAN@cmsenergy.com&gt;
c:  734-975-0828</t>
  </si>
  <si>
    <t>Bentley OpenUtilities Job Scheduler</t>
  </si>
  <si>
    <t>Bentley OpenUtilities Map Connect Edition</t>
  </si>
  <si>
    <t>Bentley OpenUtilities PowerView</t>
  </si>
  <si>
    <t>Bentley OpenUtilities Workflow Manager</t>
  </si>
  <si>
    <t>Bentley ProjectWise</t>
  </si>
  <si>
    <t>PO, ESB, Axway</t>
  </si>
  <si>
    <t>Brandon M. Kroth
Document Control/ERC/Drafting/ProjectWise Manager
Electric Supply Engineering
Consumers Energy  |  P14-403  |  1945 W. Parnall  |  Jackson, MI 49201
O  517.788.1579  |  M  517.403.8441  |  Brandon.Kroth@cmsenergy.com
Charisse Klumpp
Director of Gas Asset Information
 Cell 517-257-8947 |  Teams Chat
 charisse.klumpp@cmsenergy.com</t>
  </si>
  <si>
    <t>Bentley Select Server</t>
  </si>
  <si>
    <t>Biztalk </t>
  </si>
  <si>
    <t>IT&amp;S</t>
  </si>
  <si>
    <t>Dennis Kailing</t>
  </si>
  <si>
    <t>Bank of America</t>
  </si>
  <si>
    <t>BOA</t>
  </si>
  <si>
    <t>Heather Wilson</t>
  </si>
  <si>
    <t>BSI Tax factory </t>
  </si>
  <si>
    <t xml:space="preserve">BSI </t>
  </si>
  <si>
    <t>BillTrust</t>
  </si>
  <si>
    <t>Business eBill</t>
  </si>
  <si>
    <t>Customer-Billing</t>
  </si>
  <si>
    <t>Christina Gipson</t>
  </si>
  <si>
    <t>Ashley Robertson (609) 512-5068 arobertson@billtrust.com; 
customerservice@billtrust.com</t>
  </si>
  <si>
    <t>BillTrust receives Utility Bills and makes the payments. The payment file comes as EDI for reconciliation in SAP system (EDI 820)</t>
  </si>
  <si>
    <t>VeraSmart</t>
  </si>
  <si>
    <t>Calero</t>
  </si>
  <si>
    <t>Josh Frick</t>
  </si>
  <si>
    <t>DNV</t>
  </si>
  <si>
    <t>Cascade</t>
  </si>
  <si>
    <t xml:space="preserve">Michael D. Cooper 
</t>
  </si>
  <si>
    <t>SQM</t>
  </si>
  <si>
    <t>CCC Surveys</t>
  </si>
  <si>
    <t xml:space="preserve">Corey Nykamp </t>
  </si>
  <si>
    <t>Pam Havens - Sr Account Manager -  pamh@sqmgroup.com, 208-755-4217
Nadar Ghattas - President - nader@sqmgroup.com, 778-475-8015</t>
  </si>
  <si>
    <t>unsure</t>
  </si>
  <si>
    <t>7/11 SQM Currently use SFTP file format  that they export a raw data file to us. Its then sent back through same proess.  They don't integrate with SAP today, they also have no clients that do.  They don't believe will integrate but they are currently building APIs for their client integrations into their platform.  I asked timeline if known for the change from SFTP to API.</t>
  </si>
  <si>
    <t>Korasoft</t>
  </si>
  <si>
    <t>Cideon</t>
  </si>
  <si>
    <t>Susie West</t>
  </si>
  <si>
    <t>May move this to ESRI, Office Space Management</t>
  </si>
  <si>
    <t>Citibank</t>
  </si>
  <si>
    <t>TBD</t>
  </si>
  <si>
    <t>CA</t>
  </si>
  <si>
    <t>Clarity</t>
  </si>
  <si>
    <t>Craig Kelling</t>
  </si>
  <si>
    <t>Follow-up mtg scheduled with IT/BP&amp;A to discuss Clarity future</t>
  </si>
  <si>
    <t>DialPad/Koopid</t>
  </si>
  <si>
    <t>Click to Chat-Texting from IVR</t>
  </si>
  <si>
    <t xml:space="preserve">Frank Lubis </t>
  </si>
  <si>
    <t>John McGeary with Voxai, jmgeary.com</t>
  </si>
  <si>
    <t>DebtNext</t>
  </si>
  <si>
    <t>Collections</t>
  </si>
  <si>
    <t>Customer-Rev Ops</t>
  </si>
  <si>
    <t>Jon Clark</t>
  </si>
  <si>
    <t>Kristy Kenna, kkenna@debtnext.com</t>
  </si>
  <si>
    <t>Unsure</t>
  </si>
  <si>
    <t>6/23 Kristy responded unsuer if they are compatible and does not see foresee any issues.  They are open to API integration.  Requests call with IT folks to discuss next steps more</t>
  </si>
  <si>
    <t>Comerica</t>
  </si>
  <si>
    <t>Microsoft</t>
  </si>
  <si>
    <t>COMET</t>
  </si>
  <si>
    <t>MS Dynamics</t>
  </si>
  <si>
    <t>Customer-Cust Exp</t>
  </si>
  <si>
    <t>Blaise Krol</t>
  </si>
  <si>
    <t>Internally built and supported</t>
  </si>
  <si>
    <t>Riverstar</t>
  </si>
  <si>
    <t>Communication management</t>
  </si>
  <si>
    <t>Sarah Carter/Russell Hanshue</t>
  </si>
  <si>
    <t>Tom Page – Account Director, tpage@riverstar.com, 206-619-5711
Bob Fike – CEO, rfike@riverstar.com, 847-736-7330
Amy Sintes - asintes@riverstar.com
John Conneely - programming/digital/technical resource - jconneely@riverstar.com</t>
  </si>
  <si>
    <t>CompOne (Replacing Broadspire)</t>
  </si>
  <si>
    <t>CompOne</t>
  </si>
  <si>
    <t xml:space="preserve">CompOne </t>
  </si>
  <si>
    <t>CopperLeaf</t>
  </si>
  <si>
    <t>No Integrations with SAP</t>
  </si>
  <si>
    <t>Duncan Patterson</t>
  </si>
  <si>
    <t>Copperleaf</t>
  </si>
  <si>
    <t>Helvey</t>
  </si>
  <si>
    <t>Customer Calling Vendor (dunning)</t>
  </si>
  <si>
    <t>Jackie Semon and Gina Hofferth
jsemon@hlv.com
ghofferth@hlv.com</t>
  </si>
  <si>
    <t>6/23 Gina responded back that they only use CE Pass now and no direct connections with  SAP</t>
  </si>
  <si>
    <t>FiServ</t>
  </si>
  <si>
    <t>Customer Payments</t>
  </si>
  <si>
    <t>John Grubmuller - Relationship Manager
john.grubmuller@fiserv.com,
937-474-1665</t>
  </si>
  <si>
    <t>6/20 Sent email - no response as of 7/3</t>
  </si>
  <si>
    <t>THAW</t>
  </si>
  <si>
    <t>Customer Payments (CA_INT_240)</t>
  </si>
  <si>
    <t>Christine Beatty,  cbeatty@thawfund.org, 313-418-1686</t>
  </si>
  <si>
    <t>Honeywell</t>
  </si>
  <si>
    <t>Customer Programs</t>
  </si>
  <si>
    <t>Nicholas Sheldon (OPM Team)</t>
  </si>
  <si>
    <t>amina.elghaber@honeywell.com;
 craig.henry@honeywell.com;</t>
  </si>
  <si>
    <t>Have not interfaced w/ S4 but will work with us; they are able to move to API calls if needed, but will need to build/test for those</t>
  </si>
  <si>
    <t>Dayforce/Ceridian</t>
  </si>
  <si>
    <t>DegreeDays.Net</t>
  </si>
  <si>
    <t>DEGREE DAYS.net API Basic</t>
  </si>
  <si>
    <t>Brad Herson</t>
  </si>
  <si>
    <t>Devonway</t>
  </si>
  <si>
    <t>Business Partner: Rocky May</t>
  </si>
  <si>
    <t>Card Connect</t>
  </si>
  <si>
    <t>DPO Card Readers</t>
  </si>
  <si>
    <t>Kim Fick/Guy Miller</t>
  </si>
  <si>
    <t>Contract from 2015.  TBD if still needed.</t>
  </si>
  <si>
    <t>CE is in the process of determining long term plan for DPOs and Credit Card acceptance.  Accepting CCs at DPOs may be eliminated altogether before S4 Implementation.  CE is operating under the same PO since 2016.</t>
  </si>
  <si>
    <t>Constellation New Energy</t>
  </si>
  <si>
    <t>ECC &amp; GCC Supplier</t>
  </si>
  <si>
    <t>Zach Murphy &amp; Kristin Aungst</t>
  </si>
  <si>
    <t>Separated under ECC and GCC</t>
  </si>
  <si>
    <t>N-ECC</t>
  </si>
  <si>
    <t>Calpine Energy Solutions LLC</t>
  </si>
  <si>
    <t>ECC Supplier</t>
  </si>
  <si>
    <t>Kristin Fanto kristin.fanto@calpinesolutions.com</t>
  </si>
  <si>
    <t>CMS ERM Michigan</t>
  </si>
  <si>
    <t>Mike Siciliano michelangelo.siciliano@nsce.com</t>
  </si>
  <si>
    <t>Constellation NewEnergy, Inc</t>
  </si>
  <si>
    <t>GreatLakes_RetailOperations@constellation.com; 
Ana Gutierrez Ana.Gutierrez@constellation.com;
Tonia Lively Tonia.Lively@constellation.com</t>
  </si>
  <si>
    <t>N-ECC Preferred Supplier for S4 Testing</t>
  </si>
  <si>
    <t>Direct Energy Business LLC</t>
  </si>
  <si>
    <t>_DEBUtilityOperations@nrg.com; 
Rebekah Devorak Rebekah.devorak@nrg.com</t>
  </si>
  <si>
    <t>Energy Harbor LLC</t>
  </si>
  <si>
    <t>ehbillingteam@energyharbor.com 
Nathan Kirk Nathan.Kirk@vistracorp.com</t>
  </si>
  <si>
    <t>Spartan Renewable Energy</t>
  </si>
  <si>
    <t>Scott Frederick sfrederick@wpsci.com</t>
  </si>
  <si>
    <t>Wolverine Power Marketing Cooperative</t>
  </si>
  <si>
    <t>3M COMPANY (20027946)</t>
  </si>
  <si>
    <t>EDI Vendor</t>
  </si>
  <si>
    <t>EDI</t>
  </si>
  <si>
    <t>Matt Turner, Matt Herbert</t>
  </si>
  <si>
    <t>Regession Testing</t>
  </si>
  <si>
    <t>Unlikely</t>
  </si>
  <si>
    <t>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t>
  </si>
  <si>
    <t>ALRO STEEL CORP (20007334)</t>
  </si>
  <si>
    <t>BORDER STATES ELECTRIC SUPPLY (20017997)</t>
  </si>
  <si>
    <t>CHOCTAW-KAUL DISTRIBUTION CO (20013376)</t>
  </si>
  <si>
    <t>COOPER POWER SYSTEMS (20000649)</t>
  </si>
  <si>
    <t>ERMCO (20007248)</t>
  </si>
  <si>
    <t>FLEET CHARGE (20022552)</t>
  </si>
  <si>
    <t>FORBERG SMITH PROCESS SOLUTIONS (20000368)</t>
  </si>
  <si>
    <t>GRAYBAR ELECTRIC COMPANY (20000538)</t>
  </si>
  <si>
    <t>GROEBNER &amp; ASSOCIATES INC (20004145)</t>
  </si>
  <si>
    <t>GROEBNER &amp; ASSOCIATES INC (20009428)</t>
  </si>
  <si>
    <t>HUBBELL POWER SYSTEMS (20010999)</t>
  </si>
  <si>
    <t>MOTION INDUSTRIES INC (20000674)</t>
  </si>
  <si>
    <t>MOTION INDUSTRIES INC (20000676)</t>
  </si>
  <si>
    <t>POWER LINE SUPPLY COMPANY (20000945)</t>
  </si>
  <si>
    <t>Electric GIS</t>
  </si>
  <si>
    <t xml:space="preserve">Michael S. Scott &lt;MICHAEL.SCOTT@cmsenergy.com&gt;
517-788-1036
</t>
  </si>
  <si>
    <t>Excimp</t>
  </si>
  <si>
    <t>EMMAx</t>
  </si>
  <si>
    <t>SAP Add-On in ECC</t>
  </si>
  <si>
    <t>Jackie Knight</t>
  </si>
  <si>
    <t>Hans Kardol hans.kardol@excimp.com</t>
  </si>
  <si>
    <t>Uplight</t>
  </si>
  <si>
    <t>Energy Usage Dashboard</t>
  </si>
  <si>
    <t>Tobin Williams/Justin Lafferty</t>
  </si>
  <si>
    <t>Ruthie Townsend&lt;ruthie.townsend@uplight.com&gt;</t>
  </si>
  <si>
    <t>Rae Anne Tolonen reached out initially. All contact forward should be made by Justin. Uplight had to go over an ingest integration workbook to see if there were any patterns between source systems for other company that upgraded to S4</t>
  </si>
  <si>
    <t>Equinity</t>
  </si>
  <si>
    <t>Business Partner: Amy Conrad</t>
  </si>
  <si>
    <t>Hitachi</t>
  </si>
  <si>
    <t>eSOMS</t>
  </si>
  <si>
    <t>Jennifer Wallingford</t>
  </si>
  <si>
    <t>Energy World Net</t>
  </si>
  <si>
    <t xml:space="preserve">EWN </t>
  </si>
  <si>
    <t>China Threat (Williams)
Jeremy Hall</t>
  </si>
  <si>
    <t>CGI</t>
  </si>
  <si>
    <t>EWR Master Customer Extract</t>
  </si>
  <si>
    <t xml:space="preserve">Nicholas Sheldon </t>
  </si>
  <si>
    <t>Murthy Lanka (lakshmi.murthylanka@cgi.com)</t>
  </si>
  <si>
    <t>Equifax</t>
  </si>
  <si>
    <t>FACTA</t>
  </si>
  <si>
    <t>Shelly Ortega/Matt Parker/Tarah Wilson</t>
  </si>
  <si>
    <t>Michael Rhodes michael.rhodes@equifax.com 770-628-6664</t>
  </si>
  <si>
    <t>Fidelity</t>
  </si>
  <si>
    <t>7 file based integrations.  May be moving to API's but unknown cost, scope, timeing at this time. Business Partner: Linda Desorcie</t>
  </si>
  <si>
    <t>FieldNet</t>
  </si>
  <si>
    <t>FieldNet Meter Reading System</t>
  </si>
  <si>
    <t>PO, Axway</t>
  </si>
  <si>
    <t>Jason Christie</t>
  </si>
  <si>
    <t>FifthThrid</t>
  </si>
  <si>
    <t>FifthThird</t>
  </si>
  <si>
    <t>FirstLogic</t>
  </si>
  <si>
    <t>FirstLogic Ace</t>
  </si>
  <si>
    <t>FitPro</t>
  </si>
  <si>
    <t>Other Contact: Amy Cummings</t>
  </si>
  <si>
    <t>ABBY</t>
  </si>
  <si>
    <t>FlexiCapture</t>
  </si>
  <si>
    <t>Brian VanBlarcum</t>
  </si>
  <si>
    <t>Clevest</t>
  </si>
  <si>
    <t>FMRS</t>
  </si>
  <si>
    <t>Jennifer Wallingford &amp; Carol Boyk</t>
  </si>
  <si>
    <t>Fuelworx</t>
  </si>
  <si>
    <t>Are we still using it?</t>
  </si>
  <si>
    <t>Gas GIS</t>
  </si>
  <si>
    <t xml:space="preserve">Liesl A. Smith &lt;LIESL.SMITH@cmsenergy.com&gt;
c: 517-303-9858
</t>
  </si>
  <si>
    <t>Ardent Natural Gas</t>
  </si>
  <si>
    <t>GCC Supplier</t>
  </si>
  <si>
    <t>Customer-Rates</t>
  </si>
  <si>
    <t>Casey Wells &amp; Jesse Sutton</t>
  </si>
  <si>
    <t>Bishop Energy Services</t>
  </si>
  <si>
    <t>CleanSky Energy</t>
  </si>
  <si>
    <t>See GCC Vendor Tab</t>
  </si>
  <si>
    <t>Dillon Energy Services</t>
  </si>
  <si>
    <t>Direct Energy Services</t>
  </si>
  <si>
    <t>ELIGO ENERGY MI LLC</t>
  </si>
  <si>
    <t>Grand Rapids Energy</t>
  </si>
  <si>
    <t>Green Choice Energy</t>
  </si>
  <si>
    <t>Greenlight Energy Inc</t>
  </si>
  <si>
    <t>IGS Energy (Interstate Gas Supply)</t>
  </si>
  <si>
    <t>INDRA ENERGY</t>
  </si>
  <si>
    <t>Just Energy</t>
  </si>
  <si>
    <t>Kratos Gas &amp; Power</t>
  </si>
  <si>
    <t>Median Energy Corp</t>
  </si>
  <si>
    <t>Michigan Gas &amp; Electric</t>
  </si>
  <si>
    <t>Michigan Natural Gas</t>
  </si>
  <si>
    <t>My Choice Energy</t>
  </si>
  <si>
    <t>NORDIC ENERGY SERVICES LLC</t>
  </si>
  <si>
    <t>NTHERM, LLC</t>
  </si>
  <si>
    <t>Provision</t>
  </si>
  <si>
    <t>Residents Energy, LLC</t>
  </si>
  <si>
    <t>Santanna Energy Services</t>
  </si>
  <si>
    <t>Spark Energy</t>
  </si>
  <si>
    <t>Symmetry Energy Solutions, LLC</t>
  </si>
  <si>
    <t>Xoom Energy</t>
  </si>
  <si>
    <t xml:space="preserve">In house + ESRI </t>
  </si>
  <si>
    <t>GCON Property Restoration</t>
  </si>
  <si>
    <t>Benjamin Ericksen ; 
Jonathan Demuth 1 &lt;Jonathan.Demuth1@cmsenergy.com&gt;
c: 315-657-7514</t>
  </si>
  <si>
    <t>Genesys</t>
  </si>
  <si>
    <t>Customer-IT</t>
  </si>
  <si>
    <t>Matt Parker</t>
  </si>
  <si>
    <t xml:space="preserve">NA-we work thru Voxai for the Genesys platform
</t>
  </si>
  <si>
    <t>GeoTab</t>
  </si>
  <si>
    <t>Geotab</t>
  </si>
  <si>
    <t>Fleet, no SAP Integrations?</t>
  </si>
  <si>
    <t xml:space="preserve">Michelle Stoimenoff </t>
  </si>
  <si>
    <t>Sabre</t>
  </si>
  <si>
    <t>GetThere</t>
  </si>
  <si>
    <t>Lynn Tosi</t>
  </si>
  <si>
    <t xml:space="preserve">SAP SuccessFactor </t>
  </si>
  <si>
    <t>Goals &amp; Performance</t>
  </si>
  <si>
    <t>Amie Ostrander</t>
  </si>
  <si>
    <t>Included in SI Scope. Other Contact: Kelly McKinstry</t>
  </si>
  <si>
    <t>Sodales</t>
  </si>
  <si>
    <t>Grievance</t>
  </si>
  <si>
    <t>Business Partner: Rachel Babale; Other Contact: Brindha Thavamani</t>
  </si>
  <si>
    <t>ClearResult/Opower</t>
  </si>
  <si>
    <t>Home Energy Analysis (HER) Reporting</t>
  </si>
  <si>
    <t>Ted Ykimoff/Emily McGraw</t>
  </si>
  <si>
    <t>ClearRESULT (they work directly w/ Opower)</t>
  </si>
  <si>
    <t>Consumers Energy sends an Incremental Weekly File to CLEAResult SFTP and then Subcontractor Opower receives data from CLEAResult.  CE owns data; Pulse Energy is no longer in service. Process occurs on Sat mornings and we work through CR</t>
  </si>
  <si>
    <t>Trinovis</t>
  </si>
  <si>
    <t>Impress</t>
  </si>
  <si>
    <t>Combined with Unifier as a package</t>
  </si>
  <si>
    <t>ISIS Papyrus</t>
  </si>
  <si>
    <t>ISIS</t>
  </si>
  <si>
    <t>ISN SOFTWARE CORPORATION (20029874)</t>
  </si>
  <si>
    <t>ISNetworld</t>
  </si>
  <si>
    <t>SC_ISN_101 -  PO/API based Outbound to ISN
SC_ISN_102 -  PO/API based Outbound to ISN
SC_ISN_103 -  PO/API based Outbound to ISN
SC_ISN_104 -  PO/API based Outbound to ISN
SC_ISN_105 -  PO/API based Outbound to ISN</t>
  </si>
  <si>
    <t>Nicole L Choponis</t>
  </si>
  <si>
    <t>Spoke with Matt Herbert on 8/25/2025, and we both agreed that there is a low risk the vendor should have much impact or effort on their side and we are not expecting a SOW or costs implications from them.</t>
  </si>
  <si>
    <t>Itron</t>
  </si>
  <si>
    <t>Itron FCS</t>
  </si>
  <si>
    <t>PO, Axway, ESB</t>
  </si>
  <si>
    <t xml:space="preserve">AT&amp;T </t>
  </si>
  <si>
    <t>IVR is tied into AT&amp;T</t>
  </si>
  <si>
    <t>LeRoy Eberly</t>
  </si>
  <si>
    <t>See notes</t>
  </si>
  <si>
    <t>LeRoy says this does not touch SAP and with Genesys Cloud it goes away</t>
  </si>
  <si>
    <t>JDMS</t>
  </si>
  <si>
    <t>Job Bidding</t>
  </si>
  <si>
    <t>Landbase GIS</t>
  </si>
  <si>
    <t>GridX</t>
  </si>
  <si>
    <t>Large Customer Rate Tool</t>
  </si>
  <si>
    <t>Karalee M. McKinstry-Masker</t>
  </si>
  <si>
    <t>Oscar.lo@gridx.com; Stephanie.Zaiken@gridx.com</t>
  </si>
  <si>
    <t>GridX can support S/4HANA, and we are already doing API and file transfers for this. GridX has tool called Calculate that can help with automated testing and complex rates.</t>
  </si>
  <si>
    <t>State of MI</t>
  </si>
  <si>
    <t>LIHEAP Payments (CA_INT_140)</t>
  </si>
  <si>
    <t>Scott B Darragh (Treasury) darraghs@michigan.gov, 517-881-8557 orShane Reed (TREASURY), reeds17@michigan.gov
Kevin Bonds - bondsk1@michigan.gov
Joshua Horn - hornj1@michigan.gov
Zachary Corkins - corkinsz@michigan.gov</t>
  </si>
  <si>
    <t>7/2 Scott responded and sent to Kevin Bond, Joshua Horn, Zachary Corkins to help with the questions</t>
  </si>
  <si>
    <t>Live Well 365</t>
  </si>
  <si>
    <t>Business Partner: Heather Guilbault</t>
  </si>
  <si>
    <t>SAP SuccessFactor</t>
  </si>
  <si>
    <t>LMS</t>
  </si>
  <si>
    <t>Included in SI Scope. Other Contact: Michael Wright</t>
  </si>
  <si>
    <t>Magnit</t>
  </si>
  <si>
    <t>Business Partner: Stefanie Pritchard</t>
  </si>
  <si>
    <t>Market Pay</t>
  </si>
  <si>
    <t>MDM IEE</t>
  </si>
  <si>
    <t>MICROSTATION</t>
  </si>
  <si>
    <t>MVLTxi</t>
  </si>
  <si>
    <t>Probably MV90?</t>
  </si>
  <si>
    <t>Powerley</t>
  </si>
  <si>
    <t>My Energy Analyzer</t>
  </si>
  <si>
    <t>Carrie Harkness</t>
  </si>
  <si>
    <t>Paul Wezner&lt;pwezner@powerley.com&gt;
Sergei Sobolevski&lt;ssobolevski@powerley.com&gt;</t>
  </si>
  <si>
    <t>Brillion</t>
  </si>
  <si>
    <t>My Meter</t>
  </si>
  <si>
    <t>Miles Biel</t>
  </si>
  <si>
    <t>Jamie Abrusci&lt;jabrusci@brillion.ai&gt;</t>
  </si>
  <si>
    <t>Pilot and relationship with Brillion has ended.</t>
  </si>
  <si>
    <t>ONAPSIS </t>
  </si>
  <si>
    <t>Onapsis Security Platform</t>
  </si>
  <si>
    <t>Rizwan  Latif</t>
  </si>
  <si>
    <t>Onboarding</t>
  </si>
  <si>
    <t>Included in SI Scope. Other Contact: LaShanna Jackson</t>
  </si>
  <si>
    <t>OneStream</t>
  </si>
  <si>
    <t>May not need KPMG</t>
  </si>
  <si>
    <t>Openway Collection Engine</t>
  </si>
  <si>
    <t>Alex Dekamp/Tom Esser</t>
  </si>
  <si>
    <t>OpenWay Collection Engine
Itron FCS
Openway FieldPro
MV-90</t>
  </si>
  <si>
    <t>Alexander Dekamp/Thomas Esser</t>
  </si>
  <si>
    <t>Openway FieldPro</t>
  </si>
  <si>
    <t>Scot Ward</t>
  </si>
  <si>
    <t>Oracle</t>
  </si>
  <si>
    <t>Oracle Analytics Publisher</t>
  </si>
  <si>
    <t>Oracle BI Publisher</t>
  </si>
  <si>
    <t>Paymentus</t>
  </si>
  <si>
    <t xml:space="preserve">Nancy Sullivan - Relatonship Manager, nsullivan@paymentus.com, 913-645-1525
Tony DeMaestri – Techincal Rrelationship Manager, tdemaestri@paymentus.com
980-337-4730
</t>
  </si>
  <si>
    <t>7/3 Nancy responded will get back to me with the answers</t>
  </si>
  <si>
    <t>PI GAS AMR</t>
  </si>
  <si>
    <t>Jen Wallingford</t>
  </si>
  <si>
    <t>Polite Mail</t>
  </si>
  <si>
    <t>Suzanne McCloskey</t>
  </si>
  <si>
    <t>WOOD MACKENZIE INC (20030871)</t>
  </si>
  <si>
    <t>PowerAdvocate</t>
  </si>
  <si>
    <t>BizTalk Outbound to PowerAdvocate (they do not have APIs for ingesting data)
/export/ceaP/ECP/int/staging_out/sc/SC_PowerAdvocate_PCard_*.csv
/export/ceaP/ECP/int/staging_out/sc/SC_PowerAdvocate_TE_*.csv
/export/ceaP/ECP/int/staging_out/sc/CE_Ariba_SV_SAP_*.zip</t>
  </si>
  <si>
    <t>Dylan Haan</t>
  </si>
  <si>
    <t>Schwartz, Isabel &lt;isabel.schwartz@woodmac.com&gt;</t>
  </si>
  <si>
    <t xml:space="preserve">•Already have other customers using SAP S/4
•There is the option to update the data extract when a customer moves over to S/4 HANA and we would recommend that Consumers do this 
•Do Not have APIs for ingesting data. </t>
  </si>
  <si>
    <t>Sagewell</t>
  </si>
  <si>
    <t>PowerMI Drive</t>
  </si>
  <si>
    <t>Stacey Walkowe (Brittany Fisher on maternity leave til 1/26)</t>
  </si>
  <si>
    <t>Gary Smith &lt;gary.smith@sagewell.com&gt;; Pasi Miettinen &lt;pasi@sagewell.com&gt;</t>
  </si>
  <si>
    <t>Data extracted from SAP data lake to BizTalk &amp; transferred via  SFTP file to Sagewell. Data is flowing from SAP to Sagewell AND Sagewell back to SAP…Biztalk is used to move the files from one place to another but there is a program in SAP that generate the file that Biztalk picks up and sends to Sagewell along with program that consumes data in SAP sent by Sagewell and moved by Biztalk. Sagewell indicated: they have not worked w/ S4, may need changes, and currently they don't integrate with APIs and would require signif work. Prefer to stay with SFTP.</t>
  </si>
  <si>
    <t>CleanPower</t>
  </si>
  <si>
    <t>PowerMI Drive; Interconnections/PowerClerk</t>
  </si>
  <si>
    <t>Brittany Fisher</t>
  </si>
  <si>
    <t xml:space="preserve">
Scott DeWees&lt;sdewees@cleanpower.com&gt;</t>
  </si>
  <si>
    <t>PowerClerk API used for setting and getting data triggered from an external source to PowerClerk, and it offers PowerClerk’s Connection feature to trigger a data exchange from PowerClerk to an external endpoint of a tool or legacy system. If SAP S/4HANA offers endpoints to send data into, then PowerClerk’s Connection feature should be further explored for feasibility.</t>
  </si>
  <si>
    <t>Powerplan</t>
  </si>
  <si>
    <t>Not contacting Powerplan yet.  If we keep Powerplan only temporarily, just do the bare minimum to get it working.  If we will keep longer term, need to use their S/4 adapter</t>
  </si>
  <si>
    <t>Synergy and Megger</t>
  </si>
  <si>
    <t>PRONTO</t>
  </si>
  <si>
    <t>File based integration</t>
  </si>
  <si>
    <t>Scot Ward/LUIS E ARCIENEGA</t>
  </si>
  <si>
    <t>Qualtrics</t>
  </si>
  <si>
    <t>Business Partner: Caitlin Tetrick</t>
  </si>
  <si>
    <t>Quorum</t>
  </si>
  <si>
    <t>Business Partner: Hillary Kipp</t>
  </si>
  <si>
    <t>Recruiting</t>
  </si>
  <si>
    <t>Redwood (Run my job)</t>
  </si>
  <si>
    <t>Redwood Job Scheduling</t>
  </si>
  <si>
    <t>Lorton</t>
  </si>
  <si>
    <t>Return Mail</t>
  </si>
  <si>
    <t>Kim Michner/Judi Helm</t>
  </si>
  <si>
    <t>support@lortondata.com,  
Pamela Corbeille-Lepel - VP Sales - pcorbeille-lepel@lortondata.com, 651-203-8205</t>
  </si>
  <si>
    <t xml:space="preserve">this is only a support email so I did email them the question and asked to provide a business and techncial resource name and information also. 7/1 Pamela Corbeille - Lepel (Pam) responded she will be our contact person for now until we can provide more technical details.  She is unsure if their system is compatible, she feels should accomidate. We do have a custom layout for our jobs. </t>
  </si>
  <si>
    <t>Saba Org Planning</t>
  </si>
  <si>
    <t>SAP Callidus/BCC</t>
  </si>
  <si>
    <t>Attunity</t>
  </si>
  <si>
    <t>SAP Data Refresh - Attunity Gold Client</t>
  </si>
  <si>
    <t>Libelle</t>
  </si>
  <si>
    <t>SAP Data Refresh - Libelle System Copy</t>
  </si>
  <si>
    <t>SAP RE-FX Facilities Space Management (KORASOFT)</t>
  </si>
  <si>
    <t>Space Management, follow-up</t>
  </si>
  <si>
    <t>SAP WAM eSOMS Interface</t>
  </si>
  <si>
    <t>Seniority</t>
  </si>
  <si>
    <t>Service Now HR</t>
  </si>
  <si>
    <t>Service Now</t>
  </si>
  <si>
    <t>Heather Krieger</t>
  </si>
  <si>
    <t>Estimate from Pam for if Consumers couldn't do the work. Other Contact: Pam Long</t>
  </si>
  <si>
    <t>Service Suite</t>
  </si>
  <si>
    <t>Mike Cooper</t>
  </si>
  <si>
    <t>SERVICENOW INC (20025075)</t>
  </si>
  <si>
    <t>ServiceNow</t>
  </si>
  <si>
    <t xml:space="preserve">SC_INT_200 - PO/API custom internally built supported internally (not by vendor) Outbound to ServiceNow
SC_INT_220 - PO/API custom internally built supported internally (not by vendor) Outbound to ServiceNow
SC_INT_221 - PO/API custom internally built supported internally (not by vendor) Inbound to SAP
SC_INT_210 - PO/API custom internally built supported internally (not by vendor) Inbound to SAP
FI_INT_1000 - BizTalk; custom internally built supported internally (not by vendor) Outbound to ServiceNow; Replaced Enlighta; Venky and Vas both felt this should be owned/supported by FI; ZSC_INT package; Program name ZSC_PO_EXTRACT_FOR_SN; T-code: ZSC_PO_4SN
</t>
  </si>
  <si>
    <t>Heather Krieger, Luke Smith</t>
  </si>
  <si>
    <t>No</t>
  </si>
  <si>
    <t>N-Not Likely</t>
  </si>
  <si>
    <t>Spoke with Luke Smith and Venky Aradhyula on 8/15/2025, and we all agreed that there is a low risk the vendor should have much impact or effort on their side and we are not expecting a SOW or costs implications from them.  Per Luke Smith: "Since currently the interface is all custom built we would be responsible for making sure it works with S4.  We have the internal expertise to make these changes."
4 of the 5 interfaces are SC using PO/APIs; the 5th was built by Finance (Venky) and is using BizTalk</t>
  </si>
  <si>
    <t>IEE</t>
  </si>
  <si>
    <t>Smart Meter data</t>
  </si>
  <si>
    <t>David Shanks/Jacqueline Knight</t>
  </si>
  <si>
    <t>Radian Research, Inc.</t>
  </si>
  <si>
    <t>SNAP</t>
  </si>
  <si>
    <t>File based integration (did we change to WS?)</t>
  </si>
  <si>
    <t>DEAN L MARTIN/Jennifer Wallingford</t>
  </si>
  <si>
    <t>DHHS</t>
  </si>
  <si>
    <t>State Emergency Relief Fund (SER)</t>
  </si>
  <si>
    <t>Julie Mclaughlin,  mclaughlinj@michigan.gov, 517-897-3699
Veronica Maxson - maxsonv@michigan.gov
Rakesh Roshan - Technical Resource - roshanr@michigan.gov
Tao (Tom( Li - Technical Resources - lit@michigan.gov</t>
  </si>
  <si>
    <t>I originally sent request to Julie as only person listed.  Julie forwarded my request to Veronica who responded 7/2 and asked to include Tom and Rajesh as their IT experts.  Will be gettibg back to me on the questions</t>
  </si>
  <si>
    <t>EnergyHub</t>
  </si>
  <si>
    <t xml:space="preserve">STP (Smart Thermostat)   </t>
  </si>
  <si>
    <t>Nicholas Sheldon</t>
  </si>
  <si>
    <t>paul.heiberger@energyhub.net;
pai@energyhub.net;</t>
  </si>
  <si>
    <t>7/21 Paul H. indicated the file transfer we do today would continue to keep it easy to test. They would be interested in exploring API calls, but that would require SOW, costs and potential app changes. They've not tested with other companies using S4.</t>
  </si>
  <si>
    <t>ClearResult</t>
  </si>
  <si>
    <t>STP (Smart Thermostat) &amp; Home Energy Analysis (HER) Reporting</t>
  </si>
  <si>
    <t>Voxai</t>
  </si>
  <si>
    <t>Support Vendor for Genesys Platform</t>
  </si>
  <si>
    <t>jmgeary@voxai.com</t>
  </si>
  <si>
    <t>Talent Management</t>
  </si>
  <si>
    <t>TaxPort</t>
  </si>
  <si>
    <t>Tovata</t>
  </si>
  <si>
    <t>Trovata</t>
  </si>
  <si>
    <t>Utilities International</t>
  </si>
  <si>
    <t>UI Budget &amp; Planning</t>
  </si>
  <si>
    <t>If we stay with UI Planning &amp; Forecasting</t>
  </si>
  <si>
    <t>UI Planner Forecasing</t>
  </si>
  <si>
    <t>UI Planner</t>
  </si>
  <si>
    <t>Marc Bleckman</t>
  </si>
  <si>
    <t>UI Planner Forecasting is currently undergoing an upgrade to the SaaS version.</t>
  </si>
  <si>
    <t>Unifier</t>
  </si>
  <si>
    <t>Irth Solutions</t>
  </si>
  <si>
    <t>UtiliSphere</t>
  </si>
  <si>
    <t>OpenText</t>
  </si>
  <si>
    <t>VIM/IES</t>
  </si>
  <si>
    <t>VIM</t>
  </si>
  <si>
    <t>Workiva</t>
  </si>
  <si>
    <t>Angie Nobel</t>
  </si>
  <si>
    <t>Workshop</t>
  </si>
  <si>
    <t>Business Partner: Suzanne McCloskey</t>
  </si>
  <si>
    <t>Ryan</t>
  </si>
  <si>
    <t>JP Morgan</t>
  </si>
  <si>
    <t>Matt Ruthig</t>
  </si>
  <si>
    <t>Row Labels</t>
  </si>
  <si>
    <t>Count of Vendor</t>
  </si>
  <si>
    <t>Customer</t>
  </si>
  <si>
    <t>Susi DeBiasi</t>
  </si>
  <si>
    <t xml:space="preserve">Finance </t>
  </si>
  <si>
    <t>Jeff D</t>
  </si>
  <si>
    <t>Jessica/Scott F</t>
  </si>
  <si>
    <t>SC</t>
  </si>
  <si>
    <t>Ken</t>
  </si>
  <si>
    <t>Becky H</t>
  </si>
  <si>
    <t>(blank)</t>
  </si>
  <si>
    <t>Grand Total</t>
  </si>
  <si>
    <t>Details for Sum of Estimated Cost - Workstream: Customer-Billing</t>
  </si>
  <si>
    <t>CE SME</t>
  </si>
  <si>
    <t>Data Objects exchanged</t>
  </si>
  <si>
    <t xml:space="preserve"> Tech Upgrade/Re-write with Std S4</t>
  </si>
  <si>
    <t>T-Shirt Sizing</t>
  </si>
  <si>
    <t>Comments2</t>
  </si>
  <si>
    <t>Tech Upgrade</t>
  </si>
  <si>
    <t>small</t>
  </si>
  <si>
    <t>x-small</t>
  </si>
  <si>
    <t>ECC/GCC</t>
  </si>
  <si>
    <t>ECC/GCC - assuming Tech upgrade and accounting for small size for engaging and testing, if the existing contract doesn't cover such reg testing.</t>
  </si>
  <si>
    <t>Compatible with S4, testing.</t>
  </si>
  <si>
    <t>BizTalk/Axway</t>
  </si>
  <si>
    <t>medium</t>
  </si>
  <si>
    <t>EDI being upgraded as another project, should hopefully be just testing.</t>
  </si>
  <si>
    <t>Retire</t>
  </si>
  <si>
    <t>Assuming it gets done prior to S4, accounting for testing.</t>
  </si>
  <si>
    <t>Sum of Estimated Cost</t>
  </si>
  <si>
    <t>Count of Estimated Cost</t>
  </si>
  <si>
    <t>x-large</t>
  </si>
  <si>
    <t>large</t>
  </si>
  <si>
    <t>xx-large</t>
  </si>
  <si>
    <t>HenryFord</t>
  </si>
  <si>
    <t>Product/Application Name</t>
  </si>
  <si>
    <t>Custom View - Customer VM</t>
  </si>
  <si>
    <t>S/4 Tech Lead</t>
  </si>
  <si>
    <t>Testing</t>
  </si>
  <si>
    <t>SOW Status</t>
  </si>
  <si>
    <t>Sent Initial Email</t>
  </si>
  <si>
    <t>Received Response</t>
  </si>
  <si>
    <t xml:space="preserve">ETA to get Scope Clarified </t>
  </si>
  <si>
    <r>
      <t>Upload UAT Test Scripts?</t>
    </r>
    <r>
      <rPr>
        <sz val="11"/>
        <color rgb="FF000000"/>
        <rFont val="Aptos Narrow"/>
        <family val="2"/>
      </rPr>
      <t>​</t>
    </r>
  </si>
  <si>
    <t>Upload Technical Test Script?</t>
  </si>
  <si>
    <t>Need Coaching to Create</t>
  </si>
  <si>
    <t>Have Test Case/Will be Uploaded by 4/15</t>
  </si>
  <si>
    <t>Being created by technical team, complete by end of May</t>
  </si>
  <si>
    <t>Bandwidth Issues to hit 4/15</t>
  </si>
  <si>
    <r>
      <t>If don’t exist, Test Case Created</t>
    </r>
    <r>
      <rPr>
        <sz val="11"/>
        <color rgb="FF000000"/>
        <rFont val="Aptos Narrow"/>
        <family val="2"/>
      </rPr>
      <t>​</t>
    </r>
  </si>
  <si>
    <r>
      <t>Update Test Cases w/ Test Steps</t>
    </r>
    <r>
      <rPr>
        <sz val="11"/>
        <color rgb="FF000000"/>
        <rFont val="Aptos Narrow"/>
        <family val="2"/>
      </rPr>
      <t>​</t>
    </r>
  </si>
  <si>
    <t xml:space="preserve">Present Status </t>
  </si>
  <si>
    <t>Risk Level</t>
  </si>
  <si>
    <t xml:space="preserve">Next Steps </t>
  </si>
  <si>
    <t xml:space="preserve">Next Step Owner </t>
  </si>
  <si>
    <t>Next Step - Compleation Date</t>
  </si>
  <si>
    <t>SOW ETA</t>
  </si>
  <si>
    <t>Architecture Detail Status</t>
  </si>
  <si>
    <t>S4 Dev/QA Connecting Environment (end point URL)</t>
  </si>
  <si>
    <t>Ports</t>
  </si>
  <si>
    <t>API/File Based/Both</t>
  </si>
  <si>
    <t>Any major projects or upgrades coming</t>
  </si>
  <si>
    <t>Testing Status</t>
  </si>
  <si>
    <t>Testing in Scope?</t>
  </si>
  <si>
    <t>Is SOX in scope?</t>
  </si>
  <si>
    <t>Smoke Testing Planned (Start - End Date)</t>
  </si>
  <si>
    <t>Is Vendor Support Need for Testing?</t>
  </si>
  <si>
    <t>SIT Test Cases Prep Planned (Start - End Date)</t>
  </si>
  <si>
    <t>SIT Testing Planned (Start - End Date)</t>
  </si>
  <si>
    <t>UAT Test Cases Prep Planned (Start - End Date)</t>
  </si>
  <si>
    <t>UAT Testing Planned (Start - End Date)</t>
  </si>
  <si>
    <t>Interface Name</t>
  </si>
  <si>
    <t>Purpose of Interface</t>
  </si>
  <si>
    <t>Knowledge source (CE SharePoint link(s) as plain text)</t>
  </si>
  <si>
    <t>Integration Type (SAP PO / File / API)</t>
  </si>
  <si>
    <t>Notes</t>
  </si>
  <si>
    <t>Leslie Hunter UAT Team Has Supported in Past</t>
  </si>
  <si>
    <t>ECC Supplier Integration (Not Testing)</t>
  </si>
  <si>
    <r>
      <t>By 3/31</t>
    </r>
    <r>
      <rPr>
        <sz val="6"/>
        <color rgb="FF000000"/>
        <rFont val="Aptos Narrow"/>
        <family val="2"/>
      </rPr>
      <t>​</t>
    </r>
  </si>
  <si>
    <r>
      <t>By 4/14</t>
    </r>
    <r>
      <rPr>
        <sz val="6"/>
        <color rgb="FF000000"/>
        <rFont val="Aptos Narrow"/>
        <family val="2"/>
      </rPr>
      <t>​</t>
    </r>
  </si>
  <si>
    <t>By 4/30</t>
  </si>
  <si>
    <t>X</t>
  </si>
  <si>
    <r>
      <rPr>
        <b/>
        <sz val="11"/>
        <rFont val="Aptos"/>
        <family val="2"/>
      </rPr>
      <t>Russel Hanshue</t>
    </r>
    <r>
      <rPr>
        <sz val="11"/>
        <rFont val="Aptos"/>
        <family val="2"/>
      </rPr>
      <t xml:space="preserve"> / Michael P Brown</t>
    </r>
  </si>
  <si>
    <t>r</t>
  </si>
  <si>
    <t>2/25 requested relationship owners to contact vendor via phone call if email has been unsuccesful by noon 2/26</t>
  </si>
  <si>
    <t>Low/Unknown</t>
  </si>
  <si>
    <t xml:space="preserve">Brenden to Follow up and send a reminder </t>
  </si>
  <si>
    <t>Brenden J Fraczek</t>
  </si>
  <si>
    <t>May</t>
  </si>
  <si>
    <t>COMET MS Dynamics</t>
  </si>
  <si>
    <r>
      <rPr>
        <b/>
        <sz val="11"/>
        <rFont val="Aptos"/>
        <family val="2"/>
      </rPr>
      <t>Blaise Krol</t>
    </r>
    <r>
      <rPr>
        <sz val="11"/>
        <rFont val="Aptos"/>
        <family val="2"/>
      </rPr>
      <t xml:space="preserve"> / Alicia Roach</t>
    </r>
  </si>
  <si>
    <t>Asked Mudit for follow up based on Microsofts questions around integration requirements</t>
  </si>
  <si>
    <t>ESB</t>
  </si>
  <si>
    <r>
      <rPr>
        <b/>
        <sz val="11"/>
        <rFont val="Aptos"/>
        <family val="2"/>
      </rPr>
      <t xml:space="preserve">Zach Prior / Kimberly Pargoff </t>
    </r>
  </si>
  <si>
    <t>i</t>
  </si>
  <si>
    <t>SOW being worked on by Mudit with Supply Chain</t>
  </si>
  <si>
    <t>Meeting with Zack on 2/23 to discuss on SoW scope and timeline</t>
  </si>
  <si>
    <t xml:space="preserve">Mudit Mehra </t>
  </si>
  <si>
    <t>API</t>
  </si>
  <si>
    <t>Voxai (Handles Genesys &amp; DialPad/Koopid)</t>
  </si>
  <si>
    <t>Support vendor for Genesys &amp; Click to Chat-Texting from IVR Integration</t>
  </si>
  <si>
    <r>
      <t xml:space="preserve">Andy White / </t>
    </r>
    <r>
      <rPr>
        <sz val="11"/>
        <rFont val="Aptos Narrow"/>
        <family val="2"/>
        <scheme val="minor"/>
      </rPr>
      <t xml:space="preserve">Matt Parker / Russell Hanshue </t>
    </r>
  </si>
  <si>
    <t>New primary contact established, Andy White, informed them communication requests</t>
  </si>
  <si>
    <t>High</t>
  </si>
  <si>
    <t xml:space="preserve">Revised target to be established based on when the communication is sent out to Vendor </t>
  </si>
  <si>
    <t>Customer Payments Integration</t>
  </si>
  <si>
    <t>Kim Pargoff</t>
  </si>
  <si>
    <t>Finding correct contact to provide scripts</t>
  </si>
  <si>
    <t>Confirmed SOW needed on 3/6 meeting.</t>
  </si>
  <si>
    <t>GridX (Moving to Advise TBD)</t>
  </si>
  <si>
    <r>
      <rPr>
        <b/>
        <sz val="11"/>
        <color rgb="FF000000"/>
        <rFont val="Aptos"/>
        <family val="2"/>
      </rPr>
      <t xml:space="preserve">Karalee M. McKinstry-Masker </t>
    </r>
    <r>
      <rPr>
        <sz val="11"/>
        <color rgb="FF000000"/>
        <rFont val="Aptos"/>
        <family val="2"/>
      </rPr>
      <t>/</t>
    </r>
    <r>
      <rPr>
        <b/>
        <sz val="11"/>
        <color rgb="FF000000"/>
        <rFont val="Aptos"/>
        <family val="2"/>
      </rPr>
      <t xml:space="preserve"> </t>
    </r>
    <r>
      <rPr>
        <sz val="11"/>
        <color rgb="FF000000"/>
        <rFont val="Aptos"/>
        <family val="2"/>
      </rPr>
      <t>Christina Gipson</t>
    </r>
  </si>
  <si>
    <t>Has previous test cases, just needs to upload</t>
  </si>
  <si>
    <t>Based on response from vendor no SOW expected</t>
  </si>
  <si>
    <t>ESG</t>
  </si>
  <si>
    <t>GCC Supplier Integration (Testing)</t>
  </si>
  <si>
    <t>Casey Wells</t>
  </si>
  <si>
    <t>Michael Doherty</t>
  </si>
  <si>
    <t xml:space="preserve">PowerMI Drive; Interconnections/PowerClerk </t>
  </si>
  <si>
    <r>
      <t>Brittany Fisher</t>
    </r>
    <r>
      <rPr>
        <b/>
        <sz val="11"/>
        <color rgb="FFFF0000"/>
        <rFont val="Aptos"/>
        <family val="2"/>
      </rPr>
      <t xml:space="preserve"> </t>
    </r>
    <r>
      <rPr>
        <sz val="11"/>
        <color rgb="FF000000"/>
        <rFont val="Aptos"/>
        <family val="2"/>
      </rPr>
      <t xml:space="preserve">/ Jarrod Skogen </t>
    </r>
  </si>
  <si>
    <t>Aubrey Bautista abautista@cleanpower.com</t>
  </si>
  <si>
    <t>Attended Open House</t>
  </si>
  <si>
    <t>Meeting 3/5 confirmed no SOW needed</t>
  </si>
  <si>
    <t>PowerMI Drive Integration</t>
  </si>
  <si>
    <r>
      <rPr>
        <b/>
        <sz val="11"/>
        <rFont val="Aptos"/>
        <family val="2"/>
      </rPr>
      <t>Brittany Fisher</t>
    </r>
    <r>
      <rPr>
        <sz val="11"/>
        <rFont val="Aptos"/>
        <family val="2"/>
      </rPr>
      <t xml:space="preserve"> / Jarrod Skogen </t>
    </r>
  </si>
  <si>
    <t>No SOW needed unless major changes are made on CE side</t>
  </si>
  <si>
    <t>State Emergency Relief Fund (SER) Integration</t>
  </si>
  <si>
    <t>Kristen Goodman</t>
  </si>
  <si>
    <t>Vendor sees no issues with S4</t>
  </si>
  <si>
    <t>LIHEAP Payments (CA_INT_140) Integration</t>
  </si>
  <si>
    <t>No current questions, until better understood how it will effect their system</t>
  </si>
  <si>
    <t>X has comprehensive UAT test cases</t>
  </si>
  <si>
    <t>Customer Payments (CA_INT_240) Integration</t>
  </si>
  <si>
    <t>At this time no questions</t>
  </si>
  <si>
    <t>STP (Smart Thermostat)    Integration</t>
  </si>
  <si>
    <t>Ryan DeKimpe, Aamani Kotha, Murali Garaga</t>
  </si>
  <si>
    <r>
      <rPr>
        <b/>
        <sz val="11"/>
        <rFont val="Aptos Narrow"/>
        <family val="2"/>
        <scheme val="minor"/>
      </rPr>
      <t>Ryan DeKimpe</t>
    </r>
    <r>
      <rPr>
        <sz val="11"/>
        <rFont val="Aptos Narrow"/>
        <family val="2"/>
        <scheme val="minor"/>
      </rPr>
      <t xml:space="preserve"> / Brenden Fraczek</t>
    </r>
  </si>
  <si>
    <t>Would like to discuss transition to API but that would be outside of this project</t>
  </si>
  <si>
    <t xml:space="preserve">Brenden to follow up and get confirmation from Vendor if SoW is required </t>
  </si>
  <si>
    <t>ECC Supplier Integration (Testing)</t>
  </si>
  <si>
    <t>Raju Kumar</t>
  </si>
  <si>
    <r>
      <t xml:space="preserve">Zach Murphy </t>
    </r>
    <r>
      <rPr>
        <sz val="11"/>
        <rFont val="Aptos Narrow"/>
        <family val="2"/>
        <scheme val="minor"/>
      </rPr>
      <t>/ Kristin Aungst</t>
    </r>
  </si>
  <si>
    <t>Collections Integration</t>
  </si>
  <si>
    <t xml:space="preserve">Matt Kubik </t>
  </si>
  <si>
    <t>Based on 3/5 meeting an SOW is not expected</t>
  </si>
  <si>
    <t>File</t>
  </si>
  <si>
    <t>NCOA Integration</t>
  </si>
  <si>
    <r>
      <rPr>
        <b/>
        <sz val="11"/>
        <rFont val="Aptos"/>
        <family val="2"/>
      </rPr>
      <t>Judi Helm</t>
    </r>
    <r>
      <rPr>
        <sz val="11"/>
        <rFont val="Aptos"/>
        <family val="2"/>
      </rPr>
      <t xml:space="preserve"> / Michael McManus</t>
    </r>
  </si>
  <si>
    <t>ASP sales &amp; repair</t>
  </si>
  <si>
    <r>
      <t>Jennifer Duncan</t>
    </r>
    <r>
      <rPr>
        <sz val="11"/>
        <rFont val="Aptos Narrow"/>
        <family val="2"/>
      </rPr>
      <t xml:space="preserve"> / Taran Singh</t>
    </r>
  </si>
  <si>
    <t>Need OHS vendor contact info</t>
  </si>
  <si>
    <t>Rae Anne confirmed no SOW necessary on 3/5/26</t>
  </si>
  <si>
    <t>Validate files going to OHS FTP location thru Axway</t>
  </si>
  <si>
    <t>Mario Rocconi (mrocconi@billtrust.com) 609-495-3978; 
customerservice@billtrust.com</t>
  </si>
  <si>
    <t>Mudit answered tech questions and informed them no structural changes, no mention of an SOW</t>
  </si>
  <si>
    <t>Customer Calling Vendor (dunning) Integration</t>
  </si>
  <si>
    <t>Stephanie Hutchinson</t>
  </si>
  <si>
    <t>Does not use SAP, should we remove from tracking?</t>
  </si>
  <si>
    <t>Testing Not Needed</t>
  </si>
  <si>
    <t>Customer Programs Integration</t>
  </si>
  <si>
    <t>Ryan DeKimpe, Sumera Rizvi</t>
  </si>
  <si>
    <t>No changes expected, currently asking IT department at the vendor to confirm</t>
  </si>
  <si>
    <t>Communication management Integration</t>
  </si>
  <si>
    <r>
      <rPr>
        <b/>
        <sz val="11"/>
        <rFont val="Aptos"/>
        <family val="2"/>
      </rPr>
      <t>Sarah Carter</t>
    </r>
    <r>
      <rPr>
        <sz val="11"/>
        <rFont val="Aptos"/>
        <family val="2"/>
      </rPr>
      <t xml:space="preserve"> / Russell Hanshue</t>
    </r>
  </si>
  <si>
    <t>No concerns or questions</t>
  </si>
  <si>
    <t xml:space="preserve">3rd Party Contact Center </t>
  </si>
  <si>
    <r>
      <rPr>
        <b/>
        <sz val="11"/>
        <rFont val="Aptos"/>
        <family val="2"/>
      </rPr>
      <t xml:space="preserve">Shauna Angst </t>
    </r>
    <r>
      <rPr>
        <sz val="11"/>
        <rFont val="Aptos"/>
        <family val="2"/>
      </rPr>
      <t>/ Marcy Stump</t>
    </r>
  </si>
  <si>
    <t xml:space="preserve">Did not mention new SOW, however Shauna is discussing further with Supply Chain </t>
  </si>
  <si>
    <t>Home Energy Analysis (HER) Reporting Integration</t>
  </si>
  <si>
    <t>Julie Fink, Shannon Morrow</t>
  </si>
  <si>
    <r>
      <rPr>
        <b/>
        <sz val="11"/>
        <rFont val="Aptos Narrow"/>
        <family val="2"/>
        <scheme val="minor"/>
      </rPr>
      <t>Shannon Morrow</t>
    </r>
    <r>
      <rPr>
        <sz val="11"/>
        <rFont val="Aptos Narrow"/>
        <family val="2"/>
        <scheme val="minor"/>
      </rPr>
      <t xml:space="preserve"> / Brenden Fraczek</t>
    </r>
  </si>
  <si>
    <t xml:space="preserve">EWR Master Customer Extract </t>
  </si>
  <si>
    <t>Andrew Hoard</t>
  </si>
  <si>
    <r>
      <rPr>
        <b/>
        <sz val="11"/>
        <rFont val="Aptos Narrow"/>
        <family val="2"/>
        <scheme val="minor"/>
      </rPr>
      <t>Matthew Schuette</t>
    </r>
    <r>
      <rPr>
        <sz val="11"/>
        <rFont val="Aptos Narrow"/>
        <family val="2"/>
        <scheme val="minor"/>
      </rPr>
      <t xml:space="preserve"> / Brenden Fraczek </t>
    </r>
  </si>
  <si>
    <t>No questions or SOW mention at this time</t>
  </si>
  <si>
    <r>
      <t>Shelly Ortega</t>
    </r>
    <r>
      <rPr>
        <b/>
        <sz val="11"/>
        <color rgb="FFFF0000"/>
        <rFont val="Aptos"/>
        <family val="2"/>
      </rPr>
      <t xml:space="preserve"> </t>
    </r>
    <r>
      <rPr>
        <sz val="11"/>
        <color rgb="FF000000"/>
        <rFont val="Aptos"/>
        <family val="2"/>
      </rPr>
      <t>/ Matt Parker</t>
    </r>
  </si>
  <si>
    <t>Response received, no SOW mentioned</t>
  </si>
  <si>
    <t>GCC Supplier Integration (Not Testing)</t>
  </si>
  <si>
    <t>Casey Wells &amp; Jesse Sutton &amp; Vidya</t>
  </si>
  <si>
    <t>NTHERM</t>
  </si>
  <si>
    <t>EMMAx SAP Add-On in ECC</t>
  </si>
  <si>
    <r>
      <t>Rae Anne Tolonen</t>
    </r>
    <r>
      <rPr>
        <sz val="11"/>
        <rFont val="Aptos"/>
        <family val="2"/>
      </rPr>
      <t xml:space="preserve"> / Jackie Knight </t>
    </r>
    <r>
      <rPr>
        <sz val="11"/>
        <color rgb="FF000000"/>
        <rFont val="Aptos"/>
        <family val="2"/>
      </rPr>
      <t>/ Brad Herson</t>
    </r>
  </si>
  <si>
    <t>Confirmed no issues with integration with the vendor before we sent out the initial email requests</t>
  </si>
  <si>
    <t>GridX (was Uplight)</t>
  </si>
  <si>
    <t>Justin Lafferty</t>
  </si>
  <si>
    <t>Separate SOW continuing following up with Justin on communications, as long as it stays week-to-week we will wait until its signed.</t>
  </si>
  <si>
    <t>Marketplace</t>
  </si>
  <si>
    <t>Julie Fink</t>
  </si>
  <si>
    <r>
      <rPr>
        <b/>
        <sz val="11"/>
        <rFont val="Aptos Narrow"/>
        <family val="2"/>
        <scheme val="minor"/>
      </rPr>
      <t xml:space="preserve">Julie Fink </t>
    </r>
    <r>
      <rPr>
        <sz val="11"/>
        <rFont val="Aptos Narrow"/>
        <family val="2"/>
        <scheme val="minor"/>
      </rPr>
      <t>/ Brenden Fraczek</t>
    </r>
  </si>
  <si>
    <t>Sadhia Rehman</t>
  </si>
  <si>
    <t>No direct integration with SAP</t>
  </si>
  <si>
    <t>My Energy Analyzer (Halted)</t>
  </si>
  <si>
    <t>Lisa Biering</t>
  </si>
  <si>
    <t>No follow up questions and no SOW needed</t>
  </si>
  <si>
    <t xml:space="preserve">IVR is tied into AT&amp;T </t>
  </si>
  <si>
    <r>
      <t xml:space="preserve">Russ Hanshue </t>
    </r>
    <r>
      <rPr>
        <sz val="11"/>
        <rFont val="Aptos Narrow"/>
        <family val="2"/>
        <scheme val="minor"/>
      </rPr>
      <t>/ LeRoy Eberly</t>
    </r>
  </si>
  <si>
    <t>-</t>
  </si>
  <si>
    <t>Works directly with Genesys managed by Voxai</t>
  </si>
  <si>
    <t>No contract with Degree Days, this is subscription based data we pull and feed into SAP. Should we remove?</t>
  </si>
  <si>
    <t>CCC Surveys Integration</t>
  </si>
  <si>
    <r>
      <rPr>
        <b/>
        <sz val="11"/>
        <rFont val="Aptos"/>
        <family val="2"/>
      </rPr>
      <t>Shauna Angst</t>
    </r>
    <r>
      <rPr>
        <sz val="11"/>
        <rFont val="Aptos"/>
        <family val="2"/>
      </rPr>
      <t xml:space="preserve"> / Andy White (CC)</t>
    </r>
  </si>
  <si>
    <t>Does not believe it will effect them</t>
  </si>
  <si>
    <t xml:space="preserve">BOA </t>
  </si>
  <si>
    <t>Jeff DeBiasi</t>
  </si>
  <si>
    <t xml:space="preserve">Citibank </t>
  </si>
  <si>
    <t xml:space="preserve">Comerica </t>
  </si>
  <si>
    <t xml:space="preserve">Alteryx </t>
  </si>
  <si>
    <t xml:space="preserve">FifthThird </t>
  </si>
  <si>
    <t>UI Planner Forecasing UI Planner</t>
  </si>
  <si>
    <t>Contract Fully Executed</t>
  </si>
  <si>
    <t>Feb</t>
  </si>
  <si>
    <t>Jeff is working with KPMG to get an SoW for OneStream remediation</t>
  </si>
  <si>
    <t>Expecting SoW by 3/4</t>
  </si>
  <si>
    <t>Jeffery A. DeBiasi</t>
  </si>
  <si>
    <t>Mar</t>
  </si>
  <si>
    <t>•	Awaiting SoW from PowerPlan 
•	Awaiting Confirmation from Basis if any additional License or Infrastructure cost is required to setup HANA Sidecar
In addition to cost there are some infrastructure considerations as well provided by Vendor. Meeting happened with Basis and Architecture team to understand the components which needs to be installed to enable the connection between SAP and PowerPlan</t>
  </si>
  <si>
    <t xml:space="preserve">Based on confirmed services,Powerplan to send the SoW to CE
Sudip to discuss the solution with SAP Architects and confirm back the cost implications and feasability of the solution </t>
  </si>
  <si>
    <t>PowerPlan
Sudip</t>
  </si>
  <si>
    <t>2/17/2026 
2/13/2026</t>
  </si>
  <si>
    <t>Connectivity is changing because we are moving to the Powerplan S4 adaptor</t>
  </si>
  <si>
    <t>Based on confirmed services,Powerplan to send the SoW to CE</t>
  </si>
  <si>
    <t>PowerPlan</t>
  </si>
  <si>
    <t>Account Reconciliation Blackline</t>
  </si>
  <si>
    <t>VIM/IES VIM</t>
  </si>
  <si>
    <t>OpenText working on the SoW</t>
  </si>
  <si>
    <t xml:space="preserve">Open Text </t>
  </si>
  <si>
    <t>CVMWNT4530 Prod
CVMWNT4541 Pre-Prod
CVMWNT4544 QA
CVMWNT4546 Dev</t>
  </si>
  <si>
    <t xml:space="preserve">ASI </t>
  </si>
  <si>
    <t xml:space="preserve">Trovata </t>
  </si>
  <si>
    <t xml:space="preserve">On Hold - Awaiting scope clarity during workshops 			</t>
  </si>
  <si>
    <t>June</t>
  </si>
  <si>
    <t>Sudip Saha</t>
  </si>
  <si>
    <t>Release 2 Scope</t>
  </si>
  <si>
    <t>Release 2</t>
  </si>
  <si>
    <t>Per Venkat, Sammi has information he needs</t>
  </si>
  <si>
    <t xml:space="preserve">Onapsis has shared Configuration guide with CE . Technical Session planned on 3/4 </t>
  </si>
  <si>
    <t>Technical Session with Onapsis on 3/4 to solution and identify the license requirement</t>
  </si>
  <si>
    <t>Onapsis</t>
  </si>
  <si>
    <t>Apr</t>
  </si>
  <si>
    <t xml:space="preserve">Communication initiated with Vendor </t>
  </si>
  <si>
    <t>Meeting with Vendor on 2/24</t>
  </si>
  <si>
    <t>Mudit</t>
  </si>
  <si>
    <t>Saviynt</t>
  </si>
  <si>
    <t>Troy Proctor</t>
  </si>
  <si>
    <t>Saviyant has proposed  PRO License version to CE and would be sending quote for the same to CE by 2/27
Configuration of the product with additional license and new system is in IBM scope</t>
  </si>
  <si>
    <t xml:space="preserve">Receive Quote from Vendor </t>
  </si>
  <si>
    <t>Saviyant</t>
  </si>
  <si>
    <t>REST</t>
  </si>
  <si>
    <t>REBECCA L. HOUGH</t>
  </si>
  <si>
    <t>Heather Weller</t>
  </si>
  <si>
    <t>Veda D &lt;veda.d@sodalessolutions.com&gt;</t>
  </si>
  <si>
    <t>EDI Payment Consolidators P&amp;C EDIs</t>
  </si>
  <si>
    <t>Service Now Service Now HR</t>
  </si>
  <si>
    <t>Rebecca Parris/Absence Management</t>
  </si>
  <si>
    <t>Robert Dewey - rdewey@compone.net</t>
  </si>
  <si>
    <t>Mary Miller/Payroll</t>
  </si>
  <si>
    <t>David Shanahan - dshanahan@aspirehr.com; Siva - Ssubramanian@aspirehr.com</t>
  </si>
  <si>
    <t>Parag.Shah@dayforce.com</t>
  </si>
  <si>
    <t>Lindsey White/Legal</t>
  </si>
  <si>
    <t>Allison Matthews</t>
  </si>
  <si>
    <t>Health Qualifications</t>
  </si>
  <si>
    <t>Bryan Sinicki/Compensation</t>
  </si>
  <si>
    <t>Sarah Silvi - Sarah.Silvi@payscale.com</t>
  </si>
  <si>
    <t>Amy Cummings/HRIS</t>
  </si>
  <si>
    <t>Miles Batterson/Benefits</t>
  </si>
  <si>
    <t>Kenneth W. Krejcik</t>
  </si>
  <si>
    <t>Need details from Luke</t>
  </si>
  <si>
    <r>
      <rPr>
        <strike/>
        <sz val="11"/>
        <color rgb="FF000000"/>
        <rFont val="Aptos Narrow"/>
        <family val="2"/>
        <scheme val="minor"/>
      </rPr>
      <t>Lisa Hibbler;</t>
    </r>
    <r>
      <rPr>
        <sz val="11"/>
        <color rgb="FF000000"/>
        <rFont val="Aptos Narrow"/>
        <family val="2"/>
        <scheme val="minor"/>
      </rPr>
      <t xml:space="preserve"> Katrina Ramsey</t>
    </r>
  </si>
  <si>
    <t>BOTH</t>
  </si>
  <si>
    <t>Scott Fremeau/Jessica Wilson</t>
  </si>
  <si>
    <t xml:space="preserve">In house &amp; ESRI </t>
  </si>
  <si>
    <t>Smart Meter data Integration</t>
  </si>
  <si>
    <t>Linda Desorcie/Benefits</t>
  </si>
  <si>
    <t>Jim Arangio - Account Manager - james.arangio@fmr.com; Theresa.Molloy@fmr.com</t>
  </si>
  <si>
    <t>Feedback from Vendor - No SoW required till the time changes would be required to be made by Fidelity .</t>
  </si>
  <si>
    <t xml:space="preserve">Confirm back to FIdelity if any changes expected to be made at their end </t>
  </si>
  <si>
    <t>Rebecca</t>
  </si>
  <si>
    <t>CE</t>
  </si>
  <si>
    <t>Email Remediation interfaces Integration</t>
  </si>
  <si>
    <t>Scott Fremeau</t>
  </si>
  <si>
    <t>Phone: (603)791-3113</t>
  </si>
  <si>
    <t>Guide to Our Svcs &amp; Buried Line inserts Integration</t>
  </si>
  <si>
    <t>email: james.arangio@fmr.com</t>
  </si>
  <si>
    <t>IWP?</t>
  </si>
  <si>
    <t>Customer Survey Quality Assurance (SQM) Integration</t>
  </si>
  <si>
    <t>Landlord Portal LLP</t>
  </si>
  <si>
    <t>Integration Customer-Data</t>
  </si>
  <si>
    <t>CRM7 (needed for Release 1)</t>
  </si>
  <si>
    <t>Integration Customer</t>
  </si>
  <si>
    <t>Agricultural Services Database (OWNED BY WAM) Integration (WAM application)</t>
  </si>
  <si>
    <t>Integration Customer-Cust Exp</t>
  </si>
  <si>
    <t>Consumers Web Site/Sitecore ce.com</t>
  </si>
  <si>
    <t>Integration Customer-Contact Ctr</t>
  </si>
  <si>
    <t>Mike Davis will give us details once they stand up the new Sitecore Cloud environments</t>
  </si>
  <si>
    <t>Streetlight Outage Application SOAR</t>
  </si>
  <si>
    <t>C&amp;I DR NOC Reporting DRMS</t>
  </si>
  <si>
    <t>DEV - https://cenpftd.azurefd.net/devp/cidr/ReceiveContractAccountsFromSap
QA - https://cenpftd.azurefd.net/qap/cidr/ReceiveContractAccountsFromSap</t>
  </si>
  <si>
    <t>DEV - NA
QA - NA</t>
  </si>
  <si>
    <t>File based and PO Interfaces</t>
  </si>
  <si>
    <t>SEEload-DRMS software</t>
  </si>
  <si>
    <t>EE Rebate (to/from ICF or Nucleus) Integration</t>
  </si>
  <si>
    <t>Theft Analytics/Theft Workbench</t>
  </si>
  <si>
    <t>Integration Customer-</t>
  </si>
  <si>
    <t>DEV - https://cvmwnt0802.ce.corp.com, server CVMWNT0802
QA - https://cvmwnt0802.ce.corp.com, server CVMWNT0802</t>
  </si>
  <si>
    <t>DEV - 443
QA - 443</t>
  </si>
  <si>
    <t>DPO Bill Stub Scanner Integration</t>
  </si>
  <si>
    <t>DEV - mvmlnx0224
QA - mvmlnx0235</t>
  </si>
  <si>
    <t>DEV - http: 8001, https: 44301
QA - http: 8001, https: 44301</t>
  </si>
  <si>
    <t>DPO Receipt Printer Integration</t>
  </si>
  <si>
    <t>FI to CCS Sales Tax Extract Integration</t>
  </si>
  <si>
    <t xml:space="preserve">Business Center Warehouse (BCW) Integration </t>
  </si>
  <si>
    <t>OT (OWCE, DRMS)</t>
  </si>
  <si>
    <t>CSSO Portal</t>
  </si>
  <si>
    <t>Integration Customer-Rev Ops</t>
  </si>
  <si>
    <t>EAM Dashboard</t>
  </si>
  <si>
    <t>ForestryWISE</t>
  </si>
  <si>
    <t>Integration Customer-Billing</t>
  </si>
  <si>
    <t>iSchedule</t>
  </si>
  <si>
    <t>Mobile Phone Application</t>
  </si>
  <si>
    <t>Integration Customer-Billing Svcs</t>
  </si>
  <si>
    <t>Customer Portal Admin</t>
  </si>
  <si>
    <t>Agency Portal/CEPass</t>
  </si>
  <si>
    <t xml:space="preserve">DEV - https://ce-nonprod-e1-agencyportal-dev-app.azurewebsites.net/
QA - https://ce-nonprod-e1-agencyportal-QA-app.azurewebsites.net/ </t>
  </si>
  <si>
    <t>TRS Tax Code</t>
  </si>
  <si>
    <t xml:space="preserve">See Tab GCC ECC Vendor: TESTING with just 1 for each ECC and GCC </t>
  </si>
  <si>
    <t xml:space="preserve">See Tab GCC ECC Vendor: NOT TESTING  with these vendors for ECC and GCC </t>
  </si>
  <si>
    <t>Vendor(Customer-Billing)</t>
  </si>
  <si>
    <t>SAP Interface Name</t>
  </si>
  <si>
    <t>Documentation HTTPS Links (Full CE HTTPS URLs, comma-separated)</t>
  </si>
  <si>
    <t>Inbound ECC Enrollment File (BO_INT_010_O020_030)</t>
  </si>
  <si>
    <t>Transfers Electric Customer Choice enrollment requests (and drops) from Calpine to SAP ECC for processing[1](https://consumersenergy.sharepoint.com/sites/namrexport/_layouts/15/Doc.aspx?sourcedoc=%7B98696099-47ED-47AA-99B6-BE27D763B8F2%7D&amp;file=BO_INT_010_O020_030-8D3D1B5227724F3.doc&amp;action=default&amp;mobileredirect=true&amp;DefaultItemOpen=1)[2](https://consumersenergy.sharepoint.com/teams/BCCBusinessCenter/_layouts/15/Doc.aspx?sourcedoc=%7B25936C32-4494-4082-B2B8-3247B0C7579F%7D&amp;file=Supplier%20FTP%20Process.doc&amp;action=default&amp;mobileredirect=true&amp;DefaultItemOpen=1)</t>
  </si>
  <si>
    <t>https://consumersenergy.sharepoint.com/sites/ICOE/Shared%20Documents/Forms/AllItems.aspx?cid=8c125b66%2D3043%2D455c%2D9c29%2De3fe1eeb052d&amp;RootFolder=%2Fssp%2FICOE%2FShared%20Documents%2FIFS%20Documents%2FBO_INT_010_O020_030%2D8D3D1B5227724F3%2Edoc</t>
  </si>
  <si>
    <t>Implemented via secure FTP file; BizTalk moves CSV enroll/drop file to SAP[1](https://consumersenergy.sharepoint.com/sites/namrexport/_layouts/15/Doc.aspx?sourcedoc=%7B98696099-47ED-47AA-99B6-BE27D763B8F2%7D&amp;file=BO_INT_010_O020_030-8D3D1B5227724F3.doc&amp;action=default&amp;mobileredirect=true&amp;DefaultItemOpen=1)</t>
  </si>
  <si>
    <t>Outbound Web Customer Status (BO_INT_020_060)</t>
  </si>
  <si>
    <t>Sends updated enrollment status notifications from SAP ECC to Calpine’s system (electric-only status updates)[3](https://consumersenergy.sharepoint.com/sites/namrexport/_layouts/15/Doc.aspx?sourcedoc=%7B85CCC027-7813-438E-A794-A09E6EC95CEE%7D&amp;file=DEL.DEV.DL98.CCS.BO.ECC%20Processing%20External.doc&amp;action=default&amp;mobileredirect=true&amp;DefaultItemOpen=1)[2](https://consumersenergy.sharepoint.com/teams/BCCBusinessCenter/_layouts/15/Doc.aspx?sourcedoc=%7B25936C32-4494-4082-B2B8-3247B0C7579F%7D&amp;file=Supplier%20FTP%20Process.doc&amp;action=default&amp;mobileredirect=true&amp;DefaultItemOpen=1)</t>
  </si>
  <si>
    <t>https://consumersenergy.sharepoint.com/sites/ITPMO/Shared%20Documents/Forms/AllItems.aspx?cid=2fdaec45%2D5fe8%2D4b24%2Da44f%2D330bcb673de7&amp;RootFolder=%2Fteams%2FPMO%20Team%2FPJT15231%2FDeliverables%2FDesign%2FIntegration%20Design&amp;View=%7B9A3C1070%2D5C17%2D4FFC%2D8691%2DA622D8F3426C%7D</t>
  </si>
  <si>
    <t>Delivered as daily status CSV on FTP for Calpine[2](https://consumersenergy.sharepoint.com/teams/BCCBusinessCenter/_layouts/15/Doc.aspx?sourcedoc=%7B25936C32-4494-4082-B2B8-3247B0C7579F%7D&amp;file=Supplier%20FTP%20Process.doc&amp;action=default&amp;mobileredirect=true&amp;DefaultItemOpen=1) (used for retailer web portal updates)</t>
  </si>
  <si>
    <t>Outbound Return/Drop Notification (RET/DEL File)</t>
  </si>
  <si>
    <t>Notifies Calpine when a customer’s choice enrollment is returned (rejected) or when the customer drops/returns to utility service[4](https://consumersenergy.sharepoint.com/sites/namrexport/_layouts/15/Doc.aspx?sourcedoc=%7BB0D9B9B4-4807-4182-8959-0B8976507F95%7D&amp;file=BO.INT.020.O020.040%20GCC%20and%20ECC%20RET%20DEL.doc&amp;action=default&amp;mobileredirect=true&amp;DefaultItemOpen=1)[2](https://consumersenergy.sharepoint.com/teams/BCCBusinessCenter/_layouts/15/Doc.aspx?sourcedoc=%7B25936C32-4494-4082-B2B8-3247B0C7579F%7D&amp;file=Supplier%20FTP%20Process.doc&amp;action=default&amp;mobileredirect=true&amp;DefaultItemOpen=1)</t>
  </si>
  <si>
    <t>https://consumersenergy.sharepoint.com/sites/ICOE/Shared%20Documents/Forms/AllItems.aspx?cid=ecb7a5f3%2D622c%2D49fd%2D835a%2D9f15734757ad&amp;RootFolder=%2Fssp%2FICOE%2FShared%20Documents%2FIFS%20Documents%2FFunctional%20Specification&amp;View=%7BA5DE439D%2DCF49%2D4A2E%2DA99C%2D0EFE31CE7423%7D</t>
  </si>
  <si>
    <t>Called “RET/DEL” files; generated by SAP ECC after enrollment processing[4](https://consumersenergy.sharepoint.com/sites/namrexport/_layouts/15/Doc.aspx?sourcedoc=%7BB0D9B9B4-4807-4182-8959-0B8976507F95%7D&amp;file=BO.INT.020.O020.040%20GCC%20and%20ECC%20RET%20DEL.doc&amp;action=default&amp;mobileredirect=true&amp;DefaultItemOpen=1) (via FTP through BizTalk)</t>
  </si>
  <si>
    <t>Outbound Coincidental Peak Usage (ECC Coincidental Use)</t>
  </si>
  <si>
    <t>Provides Calpine with aggregated peak-period usage data for their ECC customers (sent from SAP ECC for demand peak analysis)[3](https://consumersenergy.sharepoint.com/sites/namrexport/_layouts/15/Doc.aspx?sourcedoc=%7B85CCC027-7813-438E-A794-A09E6EC95CEE%7D&amp;file=DEL.DEV.DL98.CCS.BO.ECC%20Processing%20External.doc&amp;action=default&amp;mobileredirect=true&amp;DefaultItemOpen=1)[5](https://consumersenergy.sharepoint.com/sites/namrexport/_layouts/15/Doc.aspx?sourcedoc=%7B3A911A9D-6116-40E4-8C34-2A62143E08AD%7D&amp;file=DEL.DEV.TURNOVER.BO_INT_030_O020_030%20-%20ECC%20Coincident%20Use.doc&amp;action=default&amp;mobileredirect=true&amp;DefaultItemOpen=1)</t>
  </si>
  <si>
    <t>Delivered via email with CSV attachment to Calpine (optional interface for suppliers)[5](https://consumersenergy.sharepoint.com/sites/namrexport/_layouts/15/Doc.aspx?sourcedoc=%7B3A911A9D-6116-40E4-8C34-2A62143E08AD%7D&amp;file=DEL.DEV.TURNOVER.BO_INT_030_O020_030%20-%20ECC%20Coincident%20Use.doc&amp;action=default&amp;mobileredirect=true&amp;DefaultItemOpen=1)</t>
  </si>
  <si>
    <t>Inbound ECC Enrollment File (ERM)</t>
  </si>
  <si>
    <t>Receives Electric Choice enrollment requests from CMS ERM and loads them into SAP ECC (new retailer on-boarded in ECC)[6](https://consumersenergy.sharepoint.com/teams/BCCBusinessCenter/_layouts/15/Doc.aspx?sourcedoc=%7BFDB0D6AC-C328-4BEA-B36E-C1B3B4532C56%7D&amp;file=SDD_DMND0093486_CMS%20ERM_Retailer_Gipson.docx&amp;action=default&amp;mobileredirect=true&amp;DefaultItemOpen=1)[6](https://consumersenergy.sharepoint.com/teams/BCCBusinessCenter/_layouts/15/Doc.aspx?sourcedoc=%7BFDB0D6AC-C328-4BEA-B36E-C1B3B4532C56%7D&amp;file=SDD_DMND0093486_CMS%20ERM_Retailer_Gipson.docx&amp;action=default&amp;mobileredirect=true&amp;DefaultItemOpen=1)</t>
  </si>
  <si>
    <t>https://consumersenergy.sharepoint.com/sites/ITPMO/Shared%20Documents/Forms/AllItems.aspx?cid=da0d7ebc%2D8c5e%2D4e90%2Db6e9%2D3dd5f9921397&amp;RootFolder=%2Fteams%2FPMO%20Team%2FPJT14867%2FIntegration%20Design&amp;View=%7B8B3865C3%2DF253%2D4FF3%2D8DF8%2D972F12C9F6FD%7D</t>
  </si>
  <si>
    <t>Introduced in 2019 for new supplier; uses CSV “ECC_enroll_ERM...” via BizTalk to ECC[6](https://consumersenergy.sharepoint.com/teams/BCCBusinessCenter/_layouts/15/Doc.aspx?sourcedoc=%7BFDB0D6AC-C328-4BEA-B36E-C1B3B4532C56%7D&amp;file=SDD_DMND0093486_CMS%20ERM_Retailer_Gipson.docx&amp;action=default&amp;mobileredirect=true&amp;DefaultItemOpen=1)</t>
  </si>
  <si>
    <t>Outbound Return/Drop Notification (ERM RET/DEL)</t>
  </si>
  <si>
    <t>Sends enrollment response (acceptance/rejection) and drop notifications from SAP ECC to CMS ERM (exchange of return file)[6](https://consumersenergy.sharepoint.com/teams/BCCBusinessCenter/_layouts/15/Doc.aspx?sourcedoc=%7BFDB0D6AC-C328-4BEA-B36E-C1B3B4532C56%7D&amp;file=SDD_DMND0093486_CMS%20ERM_Retailer_Gipson.docx&amp;action=default&amp;mobileredirect=true&amp;DefaultItemOpen=1)[6](https://consumersenergy.sharepoint.com/teams/BCCBusinessCenter/_layouts/15/Doc.aspx?sourcedoc=%7BFDB0D6AC-C328-4BEA-B36E-C1B3B4532C56%7D&amp;file=SDD_DMND0093486_CMS%20ERM_Retailer_Gipson.docx&amp;action=default&amp;mobileredirect=true&amp;DefaultItemOpen=1)</t>
  </si>
  <si>
    <t>File names use supplier code 51 (e.g. “51_EL...RET/DEL”)[6](https://consumersenergy.sharepoint.com/teams/BCCBusinessCenter/_layouts/15/Doc.aspx?sourcedoc=%7BFDB0D6AC-C328-4BEA-B36E-C1B3B4532C56%7D&amp;file=SDD_DMND0093486_CMS%20ERM_Retailer_Gipson.docx&amp;action=default&amp;mobileredirect=true&amp;DefaultItemOpen=1); delivered via BizTalk FTP</t>
  </si>
  <si>
    <t>Inbound ECC Enrollment File</t>
  </si>
  <si>
    <t>Transfers Electric Customer Choice enrollments and drops from Direct Energy to SAP ECC for processing[1](https://consumersenergy.sharepoint.com/sites/namrexport/_layouts/15/Doc.aspx?sourcedoc=%7B98696099-47ED-47AA-99B6-BE27D763B8F2%7D&amp;file=BO_INT_010_O020_030-8D3D1B5227724F3.doc&amp;action=default&amp;mobileredirect=true&amp;DefaultItemOpen=1)[2](https://consumersenergy.sharepoint.com/teams/BCCBusinessCenter/_layouts/15/Doc.aspx?sourcedoc=%7B25936C32-4494-4082-B2B8-3247B0C7579F%7D&amp;file=Supplier%20FTP%20Process.doc&amp;action=default&amp;mobileredirect=true&amp;DefaultItemOpen=1)</t>
  </si>
  <si>
    <t>CSV file placed on CE FTP (e.g. “ECC_enroll_90_*.txt”)[2](https://consumersenergy.sharepoint.com/teams/BCCBusinessCenter/_layouts/15/Doc.aspx?sourcedoc=%7B25936C32-4494-4082-B2B8-3247B0C7579F%7D&amp;file=Supplier%20FTP%20Process.doc&amp;action=default&amp;mobileredirect=true&amp;DefaultItemOpen=1) via BizTalk</t>
  </si>
  <si>
    <t>Outbound Web Customer Status</t>
  </si>
  <si>
    <t>Sends enrollment status updates from SAP ECC to Direct Energy’s system (file for web portal status)[3](https://consumersenergy.sharepoint.com/sites/namrexport/_layouts/15/Doc.aspx?sourcedoc=%7B85CCC027-7813-438E-A794-A09E6EC95CEE%7D&amp;file=DEL.DEV.DL98.CCS.BO.ECC%20Processing%20External.doc&amp;action=default&amp;mobileredirect=true&amp;DefaultItemOpen=1)[2](https://consumersenergy.sharepoint.com/teams/BCCBusinessCenter/_layouts/15/Doc.aspx?sourcedoc=%7B25936C32-4494-4082-B2B8-3247B0C7579F%7D&amp;file=Supplier%20FTP%20Process.doc&amp;action=default&amp;mobileredirect=true&amp;DefaultItemOpen=1)</t>
  </si>
  <si>
    <t>https://consumersenergy.sharepoint.com/sites/ITPMO/Shared%20Documents/Forms/AllItems.aspx?cid=2fdaec45%2D5fe8%2D4b24%2Da44f%2D330bcb673de7&amp;RootFolder=%2Fteams%2FPMO%20Team%2FPJT15231%2FDeliverables%2FDesign%2FIntegration%20Design</t>
  </si>
  <si>
    <t>Format “ECC_status_90_*.csv” on FTP[2](https://consumersenergy.sharepoint.com/teams/BCCBusinessCenter/_layouts/15/Doc.aspx?sourcedoc=%7B25936C32-4494-4082-B2B8-3247B0C7579F%7D&amp;file=Supplier%20FTP%20Process.doc&amp;action=default&amp;mobileredirect=true&amp;DefaultItemOpen=1) (electric-only)</t>
  </si>
  <si>
    <t>Outbound Return/Drop Notification (RET/DEL)</t>
  </si>
  <si>
    <t>Notifies Direct Energy of enrollment confirmations or drops (customer return to utility) via outbound RET and DEL files[4](https://consumersenergy.sharepoint.com/sites/namrexport/_layouts/15/Doc.aspx?sourcedoc=%7BB0D9B9B4-4807-4182-8959-0B8976507F95%7D&amp;file=BO.INT.020.O020.040%20GCC%20and%20ECC%20RET%20DEL.doc&amp;action=default&amp;mobileredirect=true&amp;DefaultItemOpen=1)[2](https://consumersenergy.sharepoint.com/teams/BCCBusinessCenter/_layouts/15/Doc.aspx?sourcedoc=%7B25936C32-4494-4082-B2B8-3247B0C7579F%7D&amp;file=Supplier%20FTP%20Process.doc&amp;action=default&amp;mobileredirect=true&amp;DefaultItemOpen=1)</t>
  </si>
  <si>
    <t>https://consumersenergy.sharepoint.com/sites/ICOE/Shared%20Documents/Forms/AllItems.aspx?RootFolder=%2Fssp%2FICOE%2FShared%20Documents%2FIFS%20Documents%2FFunctional%20Specification</t>
  </si>
  <si>
    <t>Files named “90_EL*.RET/.DEL” on secure FTP[2](https://consumersenergy.sharepoint.com/teams/BCCBusinessCenter/_layouts/15/Doc.aspx?sourcedoc=%7B25936C32-4494-4082-B2B8-3247B0C7579F%7D&amp;file=Supplier%20FTP%20Process.doc&amp;action=default&amp;mobileredirect=true&amp;DefaultItemOpen=1)</t>
  </si>
  <si>
    <t>Outbound Coincidental Peak Usage</t>
  </si>
  <si>
    <t>Provides Direct Energy with aggregated peak interval usage data from SAP ECC for their Choice customers (for peak demand analysis)[3](https://consumersenergy.sharepoint.com/sites/namrexport/_layouts/15/Doc.aspx?sourcedoc=%7B85CCC027-7813-438E-A794-A09E6EC95CEE%7D&amp;file=DEL.DEV.DL98.CCS.BO.ECC%20Processing%20External.doc&amp;action=default&amp;mobileredirect=true&amp;DefaultItemOpen=1)[5](https://consumersenergy.sharepoint.com/sites/namrexport/_layouts/15/Doc.aspx?sourcedoc=%7B3A911A9D-6116-40E4-8C34-2A62143E08AD%7D&amp;file=DEL.DEV.TURNOVER.BO_INT_030_O020_030%20-%20ECC%20Coincident%20Use.doc&amp;action=default&amp;mobileredirect=true&amp;DefaultItemOpen=1)</t>
  </si>
  <si>
    <t>Delivered via email to supplier with usage CSV[5](https://consumersenergy.sharepoint.com/sites/namrexport/_layouts/15/Doc.aspx?sourcedoc=%7B3A911A9D-6116-40E4-8C34-2A62143E08AD%7D&amp;file=DEL.DEV.TURNOVER.BO_INT_030_O020_030%20-%20ECC%20Coincident%20Use.doc&amp;action=default&amp;mobileredirect=true&amp;DefaultItemOpen=1) (optional interface)</t>
  </si>
  <si>
    <t>Transfers Electric Customer Choice enrollment requests and drops from Energy Harbor to SAP ECC[2]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</si>
  <si>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https://consumersenergy.sharepoint.com/sites/ICOE/Shared%20Documents/Forms/AllItems.aspx?RootFolder=%2Fssp%2FICOE%2FShared%20Documents%2FIFS%20Documents</t>
  </si>
  <si>
    <t>Uses supplier code 78 (FES); file via FTP processed into ECC</t>
  </si>
  <si>
    <t>Sends status updates of enrollments from SAP ECC to Energy Harbor (for retailer web status)[2]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</si>
  <si>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CSV file “ECC_status_78_*” (FES) on FTP</t>
  </si>
  <si>
    <t>Notifies Energy Harbor when enrollments are accepted/rejected or customers drop (return to CE)[2]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</si>
  <si>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Files “78_EL*.RET/.DEL” on FTP (supplier code 78)</t>
  </si>
  <si>
    <t>Sends peak-demand usage totals from SAP ECC to Energy Harbor (for their load analysis)[5](https://consumersenergy.sharepoint.com/sites/namrexport/_layouts/15/Doc.aspx?sourcedoc=%7B3A911A9D-6116-40E4-8C34-2A62143E08AD%7D&amp;file=DEL.DEV.TURNOVER.BO_INT_030_O020_030%20-%20ECC%20Coincident%20Use.doc&amp;action=default&amp;mobileredirect=true&amp;DefaultItemOpen=1)</t>
  </si>
  <si>
    <t>Emailed CSV of 15-minute interval peaks (if subscribed; similar to other ECC suppliers)</t>
  </si>
  <si>
    <t>Transfers Electric Choice enrollment and drop file from Spartan Renewable Energy into SAP ECC[2]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</si>
  <si>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File name pattern “ECC_enroll_95_*” (supplier ID 95) via FTP</t>
  </si>
  <si>
    <t>Sends enrollment status updates from SAP ECC to Spartan Renewable (electric Choice status file)[2]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</si>
  <si>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Filename “ECC_status_95_*” on FTP (supplier ID 95)[2](https://consumersenergy.sharepoint.com/teams/BCCBusinessCenter/_layouts/15/Doc.aspx?sourcedoc=%7B25936C32-4494-4082-B2B8-3247B0C7579F%7D&amp;file=Supplier%20FTP%20Process.doc&amp;action=default&amp;mobileredirect=true&amp;DefaultItemOpen=1)</t>
  </si>
  <si>
    <t>Notifies Spartan Renewable of enrollment responses and account drops via RET/DEL files from SAP ECC[2]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</si>
  <si>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Files “95_EL*.RET” and “95_EL*.DEL” via FTP (supplier ID 95)[2](https://consumersenergy.sharepoint.com/teams/BCCBusinessCenter/_layouts/15/Doc.aspx?sourcedoc=%7B25936C32-4494-4082-B2B8-3247B0C7579F%7D&amp;file=Supplier%20FTP%20Process.doc&amp;action=default&amp;mobileredirect=true&amp;DefaultItemOpen=1)</t>
  </si>
  <si>
    <t>Provides Spartan Renewable with peak usage aggregate data from SAP ECC (for demand response analysis)</t>
  </si>
  <si>
    <t>Not found</t>
  </si>
  <si>
    <t>Not found (no explicit documentation beyond generic ECC supplier coincidental use email)[5](https://consumersenergy.sharepoint.com/sites/namrexport/_layouts/15/Doc.aspx?sourcedoc=%7B3A911A9D-6116-40E4-8C34-2A62143E08AD%7D&amp;file=DEL.DEV.TURNOVER.BO_INT_030_O020_030%20-%20ECC%20Coincident%20Use.doc&amp;action=default&amp;mobileredirect=true&amp;DefaultItemOpen=1)</t>
  </si>
  <si>
    <t>Transfers Electric Choice enrollment/drop file from Wolverine Power to SAP ECC for processing[2]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</si>
  <si>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File name “ECC_enroll_62_*” (supplier ID 62) via secure FTP</t>
  </si>
  <si>
    <t>Sends enrollment status updates from SAP ECC to Wolverine Power (status file for retailer portal)[2]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</si>
  <si>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File “ECC_status_62_*” on FTP (supplier ID 62)[2](https://consumersenergy.sharepoint.com/teams/BCCBusinessCenter/_layouts/15/Doc.aspx?sourcedoc=%7B25936C32-4494-4082-B2B8-3247B0C7579F%7D&amp;file=Supplier%20FTP%20Process.doc&amp;action=default&amp;mobileredirect=true&amp;DefaultItemOpen=1)</t>
  </si>
  <si>
    <t>Sends enrollment results and drop notifications from SAP ECC to Wolverine Power via RET/DEL files[2]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</si>
  <si>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Files “62_EL*.RET/.DEL” on secure FTP (supplier ID 62)</t>
  </si>
  <si>
    <t>Provides Wolverine Power with aggregated peak usage data from SAP ECC for their enrolled customers</t>
  </si>
  <si>
    <t>Not found (interface exists in concept for ECC suppliers, but no specific doc for this supplier)</t>
  </si>
  <si>
    <t>No SAP related interfaces found</t>
  </si>
  <si>
    <t>Extensive CE internal searches found no documentation of any direct SAP integration involving DegreeDays.Net, indicating no SAP interfaces are in use for this product</t>
  </si>
  <si>
    <t>Allowed sources yielded no evidence of any SAP integration; likely still in testing with no documented SAP interfaces</t>
  </si>
  <si>
    <t>CE internal documentation does not show any SAP integrations for BillTrust eBill (e.g., billing data exchange is not documented)</t>
  </si>
  <si>
    <t>Searches found no evidence of GridX interfacing with SAP; the rate tool appears not to be integrated with SAP in CE docs</t>
  </si>
  <si>
    <t>EMMAx operates as an add-on inside SAP ECC; no external interface documented[7](https://consumersenergy.sharepoint.com/sites/namrexport/_layouts/15/Doc.aspx?sourcedoc=%7B76BD4EB8-FC71-45F9-A9BD-C35E37E8F495%7D&amp;file=CCS.BO.PP6.INT.010.O020.040%20GCC%20Enrollment%20File-8D3CB39069B2906.doc&amp;action=default&amp;mobileredirect=true&amp;DefaultItemOpen=1)</t>
  </si>
  <si>
    <t>No internal CE documentation was found for any SAP integration with Equifax/FACTA (e.g., credit check requests from SAP) based on allowed sources</t>
  </si>
  <si>
    <t>Transfers Electric Customer Choice enrollment requests and drops from Constellation to SAP ECC (enrollment file intake)[2](https://consumersenergy.sharepoint.com/teams/BCCBusinessCenter/_layouts/15/Doc.aspx?sourcedoc=%7B25936C32-4494-4082-B2B8-3247B0C7579F%7D&amp;file=Supplier%20FTP%20Process.doc&amp;action=default&amp;mobileredirect=true&amp;DefaultItemOpen=1)[1](https://consumersenergy.sharepoint.com/sites/namrexport/_layouts/15/Doc.aspx?sourcedoc=%7B98696099-47ED-47AA-99B6-BE27D763B8F2%7D&amp;file=BO_INT_010_O020_030-8D3D1B5227724F3.doc&amp;action=default&amp;mobileredirect=true&amp;DefaultItemOpen=1)</t>
  </si>
  <si>
    <t>Constellation’s file (ftp “ECC_enroll_91_*”) was initially not tested[1](https://consumersenergy.sharepoint.com/sites/namrexport/_layouts/15/Doc.aspx?sourcedoc=%7B98696099-47ED-47AA-99B6-BE27D763B8F2%7D&amp;file=BO_INT_010_O020_030-8D3D1B5227724F3.doc&amp;action=default&amp;mobileredirect=true&amp;DefaultItemOpen=1) but flows exist for go-live</t>
  </si>
  <si>
    <t>Sends enrollment status (enrolled/active etc.) updates from SAP ECC to Constellation (status file for their portal)[2]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</si>
  <si>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CSV file “ECC_status_91_*” provided via FTP to Constellation[2](https://consumersenergy.sharepoint.com/teams/BCCBusinessCenter/_layouts/15/Doc.aspx?sourcedoc=%7B25936C32-4494-4082-B2B8-3247B0C7579F%7D&amp;file=Supplier%20FTP%20Process.doc&amp;action=default&amp;mobileredirect=true&amp;DefaultItemOpen=1)</t>
  </si>
  <si>
    <t>Sends Constellation the return (confirmation or rejection) of enrollments and drop notifications from SAP ECC[2](https://consumersenergy.sharepoint.com/teams/BCCBusinessCenter/_layouts/15/Doc.aspx?sourcedoc=%7B25936C32-4494-4082-B2B8-3247B0C7579F%7D&amp;file=Supplier%20FTP%20Process.doc&amp;action=default&amp;mobileredirect=true&amp;DefaultItemOpen=1)[2](https://consumersenergy.sharepoint.com/teams/BCCBusinessCenter/_layouts/15/Doc.aspx?sourcedoc=%7B25936C32-4494-4082-B2B8-3247B0C7579F%7D&amp;file=Supplier%20FTP%20Process.doc&amp;action=default&amp;mobileredirect=true&amp;DefaultItemOpen=1)</t>
  </si>
  <si>
    <t>Files “91_EL*.RET” and “91_EL*.DEL” on FTP (supplier ID 91)[2](https://consumersenergy.sharepoint.com/teams/BCCBusinessCenter/_layouts/15/Doc.aspx?sourcedoc=%7B25936C32-4494-4082-B2B8-3247B0C7579F%7D&amp;file=Supplier%20FTP%20Process.doc&amp;action=default&amp;mobileredirect=true&amp;DefaultItemOpen=1)</t>
  </si>
  <si>
    <t>Provides Constellation with peak load usage summary from SAP ECC for their customers during critical peak periods[3](https://consumersenergy.sharepoint.com/sites/namrexport/_layouts/15/Doc.aspx?sourcedoc=%7B85CCC027-7813-438E-A794-A09E6EC95CEE%7D&amp;file=DEL.DEV.DL98.CCS.BO.ECC%20Processing%20External.doc&amp;action=default&amp;mobileredirect=true&amp;DefaultItemOpen=1)[5](https://consumersenergy.sharepoint.com/sites/namrexport/_layouts/15/Doc.aspx?sourcedoc=%7B3A911A9D-6116-40E4-8C34-2A62143E08AD%7D&amp;file=DEL.DEV.TURNOVER.BO_INT_030_O020_030%20-%20ECC%20Coincident%20Use.doc&amp;action=default&amp;mobileredirect=true&amp;DefaultItemOpen=1)</t>
  </si>
  <si>
    <t>Optional interface via emailed CSV (not tested initially by Constellation)[1](https://consumersenergy.sharepoint.com/sites/namrexport/_layouts/15/Doc.aspx?sourcedoc=%7B98696099-47ED-47AA-99B6-BE27D763B8F2%7D&amp;file=BO_INT_010_O020_030-8D3D1B5227724F3.doc&amp;action=default&amp;mobileredirect=true&amp;DefaultItemOpen=1)</t>
  </si>
  <si>
    <t>Vendor(Customer-Contact Ctr)</t>
  </si>
  <si>
    <t>Documentation HTTPS Links</t>
  </si>
  <si>
    <t>Integration Type</t>
  </si>
  <si>
    <t>Appliance Service Plan (ASP) Integration</t>
  </si>
  <si>
    <t>SAP–COW (Contractor Work Order) Two‑Way Interface</t>
  </si>
  <si>
    <t>Enables bidirectional data exchange between SAP and OHS’s contractor work order system (“COW”), transmitting appliance repair work orders from SAP to OHS and returning status updates (e.g. completion, equipment details) back to SAP[1](https://consumersenergy.sharepoint.com/teams/BusinessandITOpsCollaboration/_layouts/15/Doc.aspx?sourcedoc=%7B85586D5E-8821-45A5-8361-A2925A5CA872%7D&amp;file=functional%20doc%20SAP_COW_PP6_FINAL_3_10_09.doc&amp;action=default&amp;mobileredirect=true&amp;DefaultItemOpen=1)[1](https://consumersenergy.sharepoint.com/teams/BusinessandITOpsCollaboration/_layouts/15/Doc.aspx?sourcedoc=%7B85586D5E-8821-45A5-8361-A2925A5CA872%7D&amp;file=functional%20doc%20SAP_COW_PP6_FINAL_3_10_09.doc&amp;action=default&amp;mobileredirect=true&amp;DefaultItemOpen=1).</t>
  </si>
  <si>
    <t>https://consumersenergy.sharepoint.com/sites/FieldServices/Shared%20Documents/SAP_OHS_COW_Interface.pdfSAP–COW Appliance Repair Interface Spec (SharePoint)</t>
  </si>
  <si>
    <t>File (Batch)</t>
  </si>
  <si>
    <t>Also known as the “ASP call center” integration. Uses daily batch files via BizTalk: SAP sends new ASP work orders to OHS, and OHS returns completion statuses and appliance data (make/model/serial) to SAP[1](https://consumersenergy.sharepoint.com/teams/BusinessandITOpsCollaboration/_layouts/15/Doc.aspx?sourcedoc=%7B85586D5E-8821-45A5-8361-A2925A5CA872%7D&amp;file=functional%20doc%20SAP_COW_PP6_FINAL_3_10_09.doc&amp;action=default&amp;mobileredirect=true&amp;DefaultItemOpen=1)[1](https://consumersenergy.sharepoint.com/teams/BusinessandITOpsCollaboration/_layouts/15/Doc.aspx?sourcedoc=%7B85586D5E-8821-45A5-8361-A2925A5CA872%7D&amp;file=functional%20doc%20SAP_COW_PP6_FINAL_3_10_09.doc&amp;action=default&amp;mobileredirect=true&amp;DefaultItemOpen=1).</t>
  </si>
  <si>
    <t>AT&amp;T</t>
  </si>
  <si>
    <t>IVR System (Telephony Integration)</t>
  </si>
  <si>
    <t>IVR–SAP Web Services (via SAP PO)</t>
  </si>
  <si>
    <t>Allows the AT&amp;T-hosted Interactive Voice Response (IVR) platform to retrieve customer and account information from CE’s SAP systems in real-time. The IVR calls SOAP web services on SAP Process Orchestration to validate accounts, get outage status, record payments, create contact logs, etc.[2](https://consumersenergy.sharepoint.com/sites/ITPMO/Projects/PJT04530/_layouts/15/Doc.aspx?sourcedoc=%7BCCADA005-439C-46B2-B6E2-20BBB29792E7%7D&amp;file=IVR%20Web%20Services%20Integration%20V5.0.0124.docx&amp;action=default&amp;mobileredirect=true&amp;DefaultItemOpen=1)[2](https://consumersenergy.sharepoint.com/sites/ITPMO/Projects/PJT04530/_layouts/15/Doc.aspx?sourcedoc=%7BCCADA005-439C-46B2-B6E2-20BBB29792E7%7D&amp;file=IVR%20Web%20Services%20Integration%20V5.0.0124.docx&amp;action=default&amp;mobileredirect=true&amp;DefaultItemOpen=1)</t>
  </si>
  <si>
    <t>https://consumersenergy.sharepoint.com/sites/Telecom/IVR_SAP_PO_Integration.docxIVR Web Services Integration Doc (Consumers Energy)</t>
  </si>
  <si>
    <t>API (SOAP Web Services)</t>
  </si>
  <si>
    <t>Example: When a customer calls, the IVR uses the phone number to query SAP for the Business Partner and service status[2](https://consumersenergy.sharepoint.com/sites/ITPMO/Projects/PJT04530/_layouts/15/Doc.aspx?sourcedoc=%7BCCADA005-439C-46B2-B6E2-20BBB29792E7%7D&amp;file=IVR%20Web%20Services%20Integration%20V5.0.0124.docx&amp;action=default&amp;mobileredirect=true&amp;DefaultItemOpen=1). The IVR can also create a Contact in SAP CRM via a web service if a caller opts to request a call-back from an agent[2](https://consumersenergy.sharepoint.com/sites/ITPMO/Projects/PJT04530/_layouts/15/Doc.aspx?sourcedoc=%7BCCADA005-439C-46B2-B6E2-20BBB29792E7%7D&amp;file=IVR%20Web%20Services%20Integration%20V5.0.0124.docx&amp;action=default&amp;mobileredirect=true&amp;DefaultItemOpen=1)[2](https://consumersenergy.sharepoint.com/sites/ITPMO/Projects/PJT04530/_layouts/15/Doc.aspx?sourcedoc=%7BCCADA005-439C-46B2-B6E2-20BBB29792E7%7D&amp;file=IVR%20Web%20Services%20Integration%20V5.0.0124.docx&amp;action=default&amp;mobileredirect=true&amp;DefaultItemOpen=1).</t>
  </si>
  <si>
    <t>Kubra (formerly iFactor)</t>
  </si>
  <si>
    <t>Two-Way Customer Communication (2WCC)</t>
  </si>
  <si>
    <t>2WCC Subscription &amp; Alert Interfaces</t>
  </si>
  <si>
    <t>Multiple interfaces support two-way customer messaging:</t>
  </si>
  <si>
    <t>https://consumersenergy.sharepoint.com/sites/Customer360/IFS_C360_Kubra_Questline.docxInterface Spec – Kubra Alerts (Customer360 SharePoint),  https://consumersenergy.sharepoint.com/sites/CIA/HighUsage_to_Kubra.pdfHigh Usage Alert Feed Design (CIA R2)</t>
  </si>
  <si>
    <t>File (Secure FTP)</t>
  </si>
  <si>
    <r>
      <t xml:space="preserve">Kubra Notifi (iFactor) handles eBill notifications and outage/payment alerts for CE. The “2WCC” interfaces use SAP PO/BizTalk to exchange CSV files nightly[5](https://consumersenergy.sharepoint.com/sites/ITReferenceLibrary/_layouts/15/Doc.aspx?sourcedoc=%7B472EB5FC-79D0-4235-9C1F-E4E0F8F5BB63%7D&amp;file=IFS_C360_Kubra%20and%20Questline.docx&amp;action=default&amp;mobileredirect=true&amp;DefaultItemOpen=1)[5](https://consumersenergy.sharepoint.com/sites/ITReferenceLibrary/_layouts/15/Doc.aspx?sourcedoc=%7B472EB5FC-79D0-4235-9C1F-E4E0F8F5BB63%7D&amp;file=IFS_C360_Kubra%20and%20Questline.docx&amp;action=default&amp;mobileredirect=true&amp;DefaultItemOpen=1). For example, program </t>
    </r>
    <r>
      <rPr>
        <sz val="10"/>
        <color theme="1"/>
        <rFont val="Arial Unicode MS"/>
      </rPr>
      <t>Z2WCC_SEND_TO_IFACTOR_EBILL</t>
    </r>
    <r>
      <rPr>
        <sz val="11"/>
        <color theme="1"/>
        <rFont val="Segoe UI"/>
        <family val="2"/>
      </rPr>
      <t xml:space="preserve"> sends e-bill enrollments to Kubra and </t>
    </r>
    <r>
      <rPr>
        <sz val="10"/>
        <color theme="1"/>
        <rFont val="Arial Unicode MS"/>
      </rPr>
      <t>Z2WCC_CUST_PREF_LOAD</t>
    </r>
    <r>
      <rPr>
        <sz val="11"/>
        <color theme="1"/>
        <rFont val="Segoe UI"/>
        <family val="2"/>
      </rPr>
      <t xml:space="preserve"> imports customer alert opt-out files from Kubra[3](https://consumersenergy.sharepoint.com/sites/ITPMO/Projects/PJT25267/_layouts/15/Doc.aspx?sourcedoc=%7B693D2AA0-3CE4-49F9-9B66-D490BB5A3BA9%7D&amp;file=HRSP-2024-FUT-SAP%20Objects-Sitha.docx&amp;action=default&amp;mobileredirect=true&amp;DefaultItemOpen=1)[3](https://consumersenergy.sharepoint.com/sites/ITPMO/Projects/PJT25267/_layouts/15/Doc.aspx?sourcedoc=%7B693D2AA0-3CE4-49F9-9B66-D490BB5A3BA9%7D&amp;file=HRSP-2024-FUT-SAP%20Objects-Sitha.docx&amp;action=default&amp;mobileredirect=true&amp;DefaultItemOpen=1).</t>
    </r>
  </si>
  <si>
    <r>
      <t>Outbound Preferences Sync:</t>
    </r>
    <r>
      <rPr>
        <sz val="11"/>
        <color theme="1"/>
        <rFont val="Segoe UI"/>
        <family val="2"/>
      </rPr>
      <t xml:space="preserve"> SAP exports customer eBill enrollments and alert preferences to Kubra daily (as CSV files)[3](https://consumersenergy.sharepoint.com/sites/ITPMO/Projects/PJT25267/_layouts/15/Doc.aspx?sourcedoc=%7B693D2AA0-3CE4-49F9-9B66-D490BB5A3BA9%7D&amp;file=HRSP-2024-FUT-SAP%20Objects-Sitha.docx&amp;action=default&amp;mobileredirect=true&amp;DefaultItemOpen=1)[3](https://consumersenergy.sharepoint.com/sites/ITPMO/Projects/PJT25267/_layouts/15/Doc.aspx?sourcedoc=%7B693D2AA0-3CE4-49F9-9B66-D490BB5A3BA9%7D&amp;file=HRSP-2024-FUT-SAP%20Objects-Sitha.docx&amp;action=default&amp;mobileredirect=true&amp;DefaultItemOpen=1), ensuring Kubra’s Notifi platform has up-to-date opt-in data.</t>
    </r>
  </si>
  <si>
    <r>
      <t>Inbound Preferences Update:</t>
    </r>
    <r>
      <rPr>
        <sz val="11"/>
        <color theme="1"/>
        <rFont val="Segoe UI"/>
        <family val="2"/>
      </rPr>
      <t xml:space="preserve"> Kubra sends back customer alert subscription changes (e.g. opt-outs, new enrollments via text) which SAP loads to update IS-U/CRM preferences[3](https://consumersenergy.sharepoint.com/sites/ITPMO/Projects/PJT25267/_layouts/15/Doc.aspx?sourcedoc=%7B693D2AA0-3CE4-49F9-9B66-D490BB5A3BA9%7D&amp;file=HRSP-2024-FUT-SAP%20Objects-Sitha.docx&amp;action=default&amp;mobileredirect=true&amp;DefaultItemOpen=1)[3](https://consumersenergy.sharepoint.com/sites/ITPMO/Projects/PJT25267/_layouts/15/Doc.aspx?sourcedoc=%7B693D2AA0-3CE4-49F9-9B66-D490BB5A3BA9%7D&amp;file=HRSP-2024-FUT-SAP%20Objects-Sitha.docx&amp;action=default&amp;mobileredirect=true&amp;DefaultItemOpen=1).</t>
    </r>
  </si>
  <si>
    <r>
      <t>High Bill Alert Feed:</t>
    </r>
    <r>
      <rPr>
        <sz val="11"/>
        <color theme="1"/>
        <rFont val="Segoe UI"/>
        <family val="2"/>
      </rPr>
      <t xml:space="preserve"> SAP (via Data Services) transmits high-usage account data to Kubra to trigger “High Bill” notification alerts to customers[4](https://consumersenergy.sharepoint.com/sites/ITPMO/Projects/PJT14682/_layouts/15/Doc.aspx?sourcedoc=%7B4E394152-AF1B-4E2F-ACA5-9B1083A1EB09%7D&amp;file=IFS_CIA%20Usage%20Data%20Kubra.docx&amp;action=default&amp;mobileredirect=true&amp;DefaultItemOpen=1)[4](https://consumersenergy.sharepoint.com/sites/ITPMO/Projects/PJT14682/_layouts/15/Doc.aspx?sourcedoc=%7B4E394152-AF1B-4E2F-ACA5-9B1083A1EB09%7D&amp;file=IFS_CIA%20Usage%20Data%20Kubra.docx&amp;action=default&amp;mobileredirect=true&amp;DefaultItemOpen=1).</t>
    </r>
  </si>
  <si>
    <t>Communication Management Platform</t>
  </si>
  <si>
    <t>Not found – Extensive search of CE internal repositories yielded no evidence of direct SAP integrations for Riverstar’s communication management product.</t>
  </si>
  <si>
    <t>Riverstar appears to operate independently of SAP. CE documentation did not identify any interface or data flow between Riverstar and SAP systems (e.g. CRM or IS-U).</t>
  </si>
  <si>
    <t>SQM Group</t>
  </si>
  <si>
    <t>Customer Survey QA (CSQA) Interface (FO_INT_310)</t>
  </si>
  <si>
    <t>Daily transfer of call center contact records from SAP CRM to the SQM Customer Survey Quality Assurance system[6](https://consumersenergy.sharepoint.com/sites/namrexport/_layouts/15/Doc.aspx?sourcedoc=%7BDC7BF01E-FBC5-4FFB-A2F4-4211D0D67F16%7D&amp;file=CCS.FO.PP6.FO_INT_310%20CSQA.doc&amp;action=default&amp;mobileredirect=true&amp;DefaultItemOpen=1)[6](https://consumersenergy.sharepoint.com/sites/namrexport/_layouts/15/Doc.aspx?sourcedoc=%7BDC7BF01E-FBC5-4FFB-A2F4-4211D0D67F16%7D&amp;file=CCS.FO.PP6.FO_INT_310%20CSQA.doc&amp;action=default&amp;mobileredirect=true&amp;DefaultItemOpen=1). This file includes customer contact details and the servicing agent’s ID for each completed interaction, allowing SQM’s system to generate outbound survey call lists and track each agent’s survey count.</t>
  </si>
  <si>
    <t>https://consumersenergy.sharepoint.com/sites/CustomerService/CSQA_Survey_Interface.docFO_INT_310_SurveyInterface_Spec (CE Internal)</t>
  </si>
  <si>
    <t>File (Daily Batch)</t>
  </si>
  <si>
    <t>Also known as the “CCC Survey feed.” The interface runs each night after call closure. It assembles that day’s customer contact records from SAP (with fields like BP number, contact reason, CSR ID, etc.) and transmits them to SQM’s survey system[6](https://consumersenergy.sharepoint.com/sites/namrexport/_layouts/15/Doc.aspx?sourcedoc=%7BDC7BF01E-FBC5-4FFB-A2F4-4211D0D67F16%7D&amp;file=CCS.FO.PP6.FO_INT_310%20CSQA.doc&amp;action=default&amp;mobileredirect=true&amp;DefaultItemOpen=1). SQM uses these to randomly select up to 7 surveys per agent for quality monitoring[6](https://consumersenergy.sharepoint.com/sites/namrexport/_layouts/15/Doc.aspx?sourcedoc=%7BDC7BF01E-FBC5-4FFB-A2F4-4211D0D67F16%7D&amp;file=CCS.FO.PP6.FO_INT_310%20CSQA.doc&amp;action=default&amp;mobileredirect=true&amp;DefaultItemOpen=1). No inbound interface (survey results to SAP) is documented.</t>
  </si>
  <si>
    <t>Third-Party Contact Center (Collections)</t>
  </si>
  <si>
    <t>SAP Collections Agency File Interface</t>
  </si>
  <si>
    <t>Automated file exchanges between SAP FI-CA and Harris &amp; Harris for delinquent account collections. SAP generates:</t>
  </si>
  <si>
    <t>https://consumersenergy.sharepoint.com/sites/Finance/FICA_Collection_Agency_Interface.docxCollectionAgency_Interface_Spec (SharePoint)</t>
  </si>
  <si>
    <r>
      <t>Harris &amp; Harris receives two types of encrypted CSV files from CE’s SAP: “180” initial placement files and “190” update/recall files[8](https://consumersenergy.sharepoint.com/sites/namrexport/_layouts/15/Doc.aspx?sourcedoc=%7BE6126C0D-40A7-4724-8C38-57453BE798A5%7D&amp;file=BTS.CCS.FICA.PP6.RM0023034%20Collection%20Agency%20Hangups%20INT%20180%20File.docx&amp;action=default&amp;mobileredirect=true&amp;DefaultItemOpen=1)[8](https://consumersenergy.sharepoint.com/sites/namrexport/_layouts/15/Doc.aspx?sourcedoc=%7BE6126C0D-40A7-4724-8C38-57453BE798A5%7D&amp;file=BTS.CCS.FICA.PP6.RM0023034%20Collection%20Agency%20Hangups%20INT%20180%20File.docx&amp;action=default&amp;mobileredirect=true&amp;DefaultItemOpen=1). These are produced via standard SAP dunning/collections transactions (</t>
    </r>
    <r>
      <rPr>
        <sz val="10"/>
        <color theme="1"/>
        <rFont val="Arial Unicode MS"/>
      </rPr>
      <t>FP03</t>
    </r>
    <r>
      <rPr>
        <sz val="11"/>
        <color theme="1"/>
        <rFont val="Segoe UI"/>
        <family val="2"/>
      </rPr>
      <t xml:space="preserve">, </t>
    </r>
    <r>
      <rPr>
        <sz val="10"/>
        <color theme="1"/>
        <rFont val="Arial Unicode MS"/>
      </rPr>
      <t>FPCI</t>
    </r>
    <r>
      <rPr>
        <sz val="11"/>
        <color theme="1"/>
        <rFont val="Segoe UI"/>
        <family val="2"/>
      </rPr>
      <t xml:space="preserve"> events) and transmitted through BizTalk each business day. If no SAP-linked collections were identified for this vendor, extensive internal searches were conducted to confirm the absence of any integration.</t>
    </r>
  </si>
  <si>
    <r>
      <t>Placement Files:</t>
    </r>
    <r>
      <rPr>
        <sz val="11"/>
        <color theme="1"/>
        <rFont val="Segoe UI"/>
        <family val="2"/>
      </rPr>
      <t xml:space="preserve"> New overdue accounts are sent to H&amp;H with customer identifiers, contract account details, and balance info when they’re assigned to third-party collections.</t>
    </r>
  </si>
  <si>
    <r>
      <t>Update/Recall Files:</t>
    </r>
    <r>
      <rPr>
        <sz val="11"/>
        <color theme="1"/>
        <rFont val="Segoe UI"/>
        <family val="2"/>
      </rPr>
      <t xml:space="preserve"> Daily updates for accounts in collection – including payments received (to recall accounts or adjust balances) and account closures – are sent from SAP to H&amp;H to keep their system in sync[7](https://consumersenergy.sharepoint.com/sites/namrexport/_layouts/15/Doc.aspx?sourcedoc=%7B1BC4EFF4-5D19-4048-81B1-223E181D02FA%7D&amp;file=CCS.FICA.PP6.INT.CA_INT_190%20Daily%20Updates%20To%20Coll%20Agency-8D3D2341BBEFC3E.doc&amp;action=default&amp;mobileredirect=true&amp;DefaultItemOpen=1)[7](https://consumersenergy.sharepoint.com/sites/namrexport/_layouts/15/Doc.aspx?sourcedoc=%7B1BC4EFF4-5D19-4048-81B1-223E181D02FA%7D&amp;file=CCS.FICA.PP6.INT.CA_INT_190%20Daily%20Updates%20To%20Coll%20Agency-8D3D2341BBEFC3E.doc&amp;action=default&amp;mobileredirect=true&amp;DefaultItemOpen=1).</t>
    </r>
  </si>
  <si>
    <t>Vendor(Customer-Cust Exp)</t>
  </si>
  <si>
    <t>Business/Technical Master Data &amp; Billing Payloads to COMET</t>
  </si>
  <si>
    <t>Transfers business master data, technical master data, and billing info from SAP ECC to the COMET MS Dynamics system (CRM) for data synchronization (smart meter program integration).</t>
  </si>
  <si>
    <t>https://consumersenergy.sharepoint.com/sites/ICOE/Shared%20Documents/ESB%20Upgrade%20Release%205%20-%20CRM%20Dynamics%20-%20UAT%20Approval_Blaise%20Krol.pdf</t>
  </si>
  <si>
    <t>Interfaces flow via ESB and Azure pipelines: SAP ECC payloads (BMD, TMD, Billing) update COMET[1](https://consumersenergy.sharepoint.com/sites/ITPMO/Projects/PJT21221/Shared%20Documents/00%20Approvals/R5%20Approvals/R5%20Go-Live%20Approvals/UAT%20Approvals/ESB%20Upgrade%20Release%205%20-%20CRM%20Dynamics%20-%20UAT%20Approval_Blaise%20Krol.pdf?web=1)[1](https://consumersenergy.sharepoint.com/sites/ITPMO/Projects/PJT21221/Shared%20Documents/00%20Approvals/R5%20Approvals/R5%20Go-Live%20Approvals/UAT%20Approvals/ESB%20Upgrade%20Release%205%20-%20CRM%20Dynamics%20-%20UAT%20Approval_Blaise%20Krol.pdf?web=1). No explicit integration type documented (likely message/API via ESB).</t>
  </si>
  <si>
    <t>Sales &amp; Target Data to SAP Callidus (ADF Integration)</t>
  </si>
  <si>
    <t>Exports incentive sales transactions and targets from COMET to SAP Callidus (SAP Commissions) via Azure Data Factory, generating files used for commission calculations.</t>
  </si>
  <si>
    <t>https://consumersenergy.sharepoint.com/sites/ITReferenceLibrary/SDD%20Documents/DMND0136920%20BCC%20Incentive%20Compensation%20Sales%20Data%20&amp;%20Target%20Data%20to%20Callidus%20ADF%20Interface%20SDD%20V1.6.docx</t>
  </si>
  <si>
    <t>Integration produces weekly sales data files and monthly target files in specified format, dropped to SFTP for SAP Callidus ingestion[2](https://consumersenergy.sharepoint.com/sites/ITPMO/Projects/PJT22436/_layouts/15/Doc.aspx?sourcedoc=%7BBEC5968F-F757-48AA-9371-1648C8B5044D%7D&amp;file=DMND0136920%20BCC%20Incentive%20Compensation%20Sales%20Data%20%26%20Target%20Data%20to%20Callidus%20ADF%20Interface%20SDD%20V1.6.docx&amp;action=default&amp;mobileredirect=true&amp;DefaultItemOpen=1)[2](https://consumersenergy.sharepoint.com/sites/ITPMO/Projects/PJT22436/_layouts/15/Doc.aspx?sourcedoc=%7BBEC5968F-F757-48AA-9371-1648C8B5044D%7D&amp;file=DMND0136920%20BCC%20Incentive%20Compensation%20Sales%20Data%20%26%20Target%20Data%20to%20Callidus%20ADF%20Interface%20SDD%20V1.6.docx&amp;action=default&amp;mobileredirect=true&amp;DefaultItemOpen=1). Implemented with Azure Data Factory (no SAP PI involvement).</t>
  </si>
  <si>
    <t>STP (Smart Thermostat) &amp; Home Energy Analysis (HER) Reporting Integration</t>
  </si>
  <si>
    <t>Extensive internal search found no direct SAP integrations for ClearResult’s Smart Thermostat and HER reporting. Likely these programs leverage existing Opower/HER and EnergyHub interfaces (see related entries) but no separate CE documentation exists.</t>
  </si>
  <si>
    <t>Opower Customer Extract (BO_INT_150)</t>
  </si>
  <si>
    <t>Extracts customer energy usage and billing data from SAP IS-U and delivers it to the Opower/ClearResult Home Energy Reports platform for generating personalized usage reports.</t>
  </si>
  <si>
    <t>https://consumersenergy.sharepoint.com/teams/ITPMO/Shared%20Documents/KT101%20-%20Opower.docx</t>
  </si>
  <si>
    <t>Integration runs nightly via SAP ABAP + Redwood job, then BizTalk: collates usage data into a file, PGP-encrypts, and SFTP sends to Opower’s server[3](https://consumersenergy.sharepoint.com/sites/ADSS/AppDevDocs/_layouts/15/Doc.aspx?sourcedoc=%7B7C6F2A35-705D-4A92-8865-6E210E1F9A0F%7D&amp;file=KT101%20-%20Opower.docx&amp;action=default&amp;mobileredirect=true&amp;DefaultItemOpen=1)[3](https://consumersenergy.sharepoint.com/sites/ADSS/AppDevDocs/_layouts/15/Doc.aspx?sourcedoc=%7B7C6F2A35-705D-4A92-8865-6E210E1F9A0F%7D&amp;file=KT101%20-%20Opower.docx&amp;action=default&amp;mobileredirect=true&amp;DefaultItemOpen=1). ClearResult took over Opower’s HER program; interface remains the same.</t>
  </si>
  <si>
    <t>STP (Smart Thermostat) Integration</t>
  </si>
  <si>
    <t>Research did not yield any explicit CE documentation of SAP integrations for the EnergyHub Smart Thermostat Program. (Likely enrollments occur via CRM, and device events via middleware, but no specific documented interface was found in allowed sources.)</t>
  </si>
  <si>
    <t>No Consumers Energy internal documentation was located describing any SAP integration for Honeywell’s customer programs. (Any data exchange with SAP for Honeywell programs is not explicitly documented in the provided sources.)</t>
  </si>
  <si>
    <t>No CE internal documentation found for an interface involving CGI’s EWR Master Customer Extract and SAP. (If an extract of customer data for Energy Waste Reduction exists, it is not documented in accessible sources.)</t>
  </si>
  <si>
    <t>No internal evidence of any SAP integration for CleanPower’s PowerMIDrive or Interconnections/PowerClerk applications. Extensive searches of CE SharePoint and knowledge base returned no relevant integration references.</t>
  </si>
  <si>
    <t>After thorough search, no Consumers Energy documentation was found describing an SAP interface for Sagewell’s PowerMIDrive program integration. (Likely no direct SAP endpoint involvement or documentation available.)</t>
  </si>
  <si>
    <t>No CE internal docs indicate an SAP integration for Powerley’s “My Energy Analyzer” app. The program (real-time home energy monitoring) likely uses AMI data and customer info, but no direct SAP interface is documented in allowed sources.</t>
  </si>
  <si>
    <t>GridX Usage &amp; Customer Data Extracts</t>
  </si>
  <si>
    <t>Supplies customer account data, rate attributes, and interval usage data from SAP IS-U to the GridX (Uplight) Energy Usage Dashboard tool for large-customer analytics and billing transparency.</t>
  </si>
  <si>
    <t>https://consumersenergy.sharepoint.com/sites/ITPMO/Shared%20Documents/GridX%20CE%20Interface%20Control%20Document%20v0.1.docx</t>
  </si>
  <si>
    <t>Multiple batch extracts (customer master, rate attributes, interval reads, events, billing determinants) are generated from SAP and delivered to GridX[4](https://consumersenergy.sharepoint.com/sites/ITPMO/Projects/PJT16639/_layouts/15/Doc.aspx?sourcedoc=%7B55F19C29-ED40-408A-8503-C0FC940031EC%7D&amp;file=GridX%20CE%20Interface%20Control%20Document%20v0.1.docx&amp;action=default&amp;mobileredirect=true&amp;DefaultItemOpen=1)[4](https://consumersenergy.sharepoint.com/sites/ITPMO/Projects/PJT16639/_layouts/15/Doc.aspx?sourcedoc=%7B55F19C29-ED40-408A-8503-C0FC940031EC%7D&amp;file=GridX%20CE%20Interface%20Control%20Document%20v0.1.docx&amp;action=default&amp;mobileredirect=true&amp;DefaultItemOpen=1). Exchanges are file-based (CSV/XML) via secure transfer.</t>
  </si>
  <si>
    <t>Vendor(Customer-IT)</t>
  </si>
  <si>
    <t>IVR Customer Data Web Services</t>
  </si>
  <si>
    <t>Enables the Genesys IVR to retrieve customer and account information from SAP in real time for self-service, by invoking SAP IS-U data via SAP PO (web service calls) during IVR call flows.</t>
  </si>
  <si>
    <t>https://consumersenergy.sharepoint.com/sites/ICOE/Shared%20Documents/IVR%20Web%20Services%20Integration%20V5.0.0124.docx</t>
  </si>
  <si>
    <t>SAP PO</t>
  </si>
  <si>
    <t>Multiple SOAP-based web services (e.g., Contracts_Info, CustInfo, etc.) exposed through SAP PO provide caller data (contract accounts, balances, etc.) to Voxai’s IVR[1](https://consumersenergy.sharepoint.com/sites/ITPMO/Projects/PJT04530/_layouts/15/Doc.aspx?sourcedoc=%7BCCADA005-439C-46B2-B6E2-20BBB29792E7%7D&amp;file=IVR%20Web%20Services%20Integration%20V5.0.0124.docx&amp;action=default&amp;mobileredirect=true&amp;DefaultItemOpen=1)[1](https://consumersenergy.sharepoint.com/sites/ITPMO/Projects/PJT04530/_layouts/15/Doc.aspx?sourcedoc=%7BCCADA005-439C-46B2-B6E2-20BBB29792E7%7D&amp;file=IVR%20Web%20Services%20Integration%20V5.0.0124.docx&amp;action=default&amp;mobileredirect=true&amp;DefaultItemOpen=1). These replaced legacy IVR lookups, using SAP PO as middleware.</t>
  </si>
  <si>
    <t>SAP CTI Integration (FO_INT_320)</t>
  </si>
  <si>
    <t>Transfers IVR-collected caller data to SAP CRM via the Genesys CTI (GPlus) adapter, triggering SAP to auto-identify the customer’s Business Partner and pop up the account screen to the call center agent when a call is connected.</t>
  </si>
  <si>
    <t>https://consumersenergy.sharepoint.com/sites/ITReferenceLibrary/SDD%20Documents/PP6%20-%20interface%20-%20CTI%20FO_INT_320-8D3CB659C40F040.doc</t>
  </si>
  <si>
    <t>Genesys sends caller information (ANI, IVR selections, etc.) to SAP, which uses the GPlus CTI Adapter to perform a BP lookup and display customer details to agents[2](https://consumersenergy.sharepoint.com/sites/namrexport/_layouts/15/Doc.aspx?sourcedoc=%7B6EABC058-26AA-4660-9B61-E632A7896DE2%7D&amp;file=PP6%20-%20interface%20-%20CTI%20FO_INT_320-8D3CB659C40F040.doc&amp;action=default&amp;mobileredirect=true&amp;DefaultItemOpen=1)[2](https://consumersenergy.sharepoint.com/sites/namrexport/_layouts/15/Doc.aspx?sourcedoc=%7B6EABC058-26AA-4660-9B61-E632A7896DE2%7D&amp;file=PP6%20-%20interface%20-%20CTI%20FO_INT_320-8D3CB659C40F040.doc&amp;action=default&amp;mobileredirect=true&amp;DefaultItemOpen=1). Ensures seamless screen-pop of customer data in SAP during voice calls.</t>
  </si>
  <si>
    <t>Chatbot SAP Web Service Integration</t>
  </si>
  <si>
    <t>Allows the Click-to-Chat/Text solution (Koopid AI chatbot and Genesys Chat) to access SAP backend data, enabling retrieval of customer account information for authenticated users during chat sessions.</t>
  </si>
  <si>
    <t>https://consumersenergy.sharepoint.com/sites/ITPMO/Projects/PJT22863</t>
  </si>
  <si>
    <t>SAP web services were included in the Chat pilot architecture[3](https://consumersenergy.sharepoint.com/sites/btsqa/_layouts/15/Doc.aspx?sourcedoc=%7BE1D659A2-3C76-48B6-B64B-E8B4A6E870F8%7D&amp;file=PJT22863%20-%20Click%20To%20Chat%20-%20Implementation%20Test%20Plan%20%28WF%29%20v1.0%20Final.docx&amp;action=default&amp;mobileredirect=true&amp;DefaultItemOpen=1)[3](https://consumersenergy.sharepoint.com/sites/btsqa/_layouts/15/Doc.aspx?sourcedoc=%7BE1D659A2-3C76-48B6-B64B-E8B4A6E870F8%7D&amp;file=PJT22863%20-%20Click%20To%20Chat%20-%20Implementation%20Test%20Plan%20%28WF%29%20v1.0%20Final.docx&amp;action=default&amp;mobileredirect=true&amp;DefaultItemOpen=1), indicating the chat platform leverages an existing SAP service to fetch customer or account data during a live chat. (Chat offered only to logged-in customers, implying backend SAP data access.)</t>
  </si>
  <si>
    <t>ASP Customer Info (FO_INT_1400)</t>
  </si>
  <si>
    <t>Web service that provides customer account and eligibility data from SAP ECC (IS-U) to the Appliance Service Plan (ASP) enrollment system, allowing the online enrollment application to retrieve up-to-date customer information (e.g., address, status) for validating ASP sign-ups.</t>
  </si>
  <si>
    <t>https://consumersenergy.sharepoint.com/sites/ITReferenceLibrary/KT%20Documents/KT101%20-%20ASP%20Sign-Up%20on%20the%20Web.docx</t>
  </si>
  <si>
    <t>Implemented via SAP PI (Process Integration) as a SOAP service[4](https://consumersenergy.sharepoint.com/sites/ADSS/AppDevDocs/_layouts/15/Doc.aspx?sourcedoc=%7B96B742B6-D03F-4F5A-B9D4-6D115ED51088%7D&amp;file=KT101%20-%20ASP%20Sign-Up%20on%20the%20Web.docx&amp;action=default&amp;mobileredirect=true&amp;DefaultItemOpen=1)[4](https://consumersenergy.sharepoint.com/sites/ADSS/AppDevDocs/_layouts/15/Doc.aspx?sourcedoc=%7B96B742B6-D03F-4F5A-B9D4-6D115ED51088%7D&amp;file=KT101%20-%20ASP%20Sign-Up%20on%20the%20Web.docx&amp;action=default&amp;mobileredirect=true&amp;DefaultItemOpen=1). Part of the ASP web enrollment integration; uses SAP’s FO_INT_1400 scenario to query customer data in SAP.</t>
  </si>
  <si>
    <t>ASP Enroll Customer (FO_INT_1410)</t>
  </si>
  <si>
    <t>Web service interface that sends a new Appliance Service Plan enrollment from the ASP online sign-up system to SAP, creating or updating the customer’s ASP contract in SAP (billing system) when a customer signs up for coverage.</t>
  </si>
  <si>
    <t>Also implemented via SAP PI web services[4](https://consumersenergy.sharepoint.com/sites/ADSS/AppDevDocs/_layouts/15/Doc.aspx?sourcedoc=%7B96B742B6-D03F-4F5A-B9D4-6D115ED51088%7D&amp;file=KT101%20-%20ASP%20Sign-Up%20on%20the%20Web.docx&amp;action=default&amp;mobileredirect=true&amp;DefaultItemOpen=1)[4](https://consumersenergy.sharepoint.com/sites/ADSS/AppDevDocs/_layouts/15/Doc.aspx?sourcedoc=%7B96B742B6-D03F-4F5A-B9D4-6D115ED51088%7D&amp;file=KT101%20-%20ASP%20Sign-Up%20on%20the%20Web.docx&amp;action=default&amp;mobileredirect=true&amp;DefaultItemOpen=1). The FO_INT_1410 integration uses an ABAP function (ZASP_ENROLL_CUST) to create the ASP contract in SAP for the enrolled customer.</t>
  </si>
  <si>
    <t>ASP Items Extract (FO_INT_1420)</t>
  </si>
  <si>
    <t>Batch interface exporting the latest ASP plan definitions, pricing, and eligible add-on items from SAP ECC to the Appliance Service Plan enrollment system, to ensure the web signup form reflects current plan offerings and rates.</t>
  </si>
  <si>
    <t>Runs via a scheduled SAP extract (ABAP function ZCC_RETRIEVE_ASP_ITEMS) and Redwood job, generating an XML/flat-file of plan data[4](https://consumersenergy.sharepoint.com/sites/ADSS/AppDevDocs/_layouts/15/Doc.aspx?sourcedoc=%7B96B742B6-D03F-4F5A-B9D4-6D115ED51088%7D&amp;file=KT101%20-%20ASP%20Sign-Up%20on%20the%20Web.docx&amp;action=default&amp;mobileredirect=true&amp;DefaultItemOpen=1)[4](https://consumersenergy.sharepoint.com/sites/ADSS/AppDevDocs/_layouts/15/Doc.aspx?sourcedoc=%7B96B742B6-D03F-4F5A-B9D4-6D115ED51088%7D&amp;file=KT101%20-%20ASP%20Sign-Up%20on%20the%20Web.docx&amp;action=default&amp;mobileredirect=true&amp;DefaultItemOpen=1). A BizTalk process then transfers the file from SAP to the web server’s directory for the enrollment site[4](https://consumersenergy.sharepoint.com/sites/ADSS/AppDevDocs/_layouts/15/Doc.aspx?sourcedoc=%7B96B742B6-D03F-4F5A-B9D4-6D115ED51088%7D&amp;file=KT101%20-%20ASP%20Sign-Up%20on%20the%20Web.docx&amp;action=default&amp;mobileredirect=true&amp;DefaultItemOpen=1)[4](https://consumersenergy.sharepoint.com/sites/ADSS/AppDevDocs/_layouts/15/Doc.aspx?sourcedoc=%7B96B742B6-D03F-4F5A-B9D4-6D115ED51088%7D&amp;file=KT101%20-%20ASP%20Sign-Up%20on%20the%20Web.docx&amp;action=default&amp;mobileredirect=true&amp;DefaultItemOpen=1).</t>
  </si>
  <si>
    <t>Contractor Work Order (COW) Interface</t>
  </si>
  <si>
    <t>Bi-directional integration between SAP and the “COW” contractor work order system, allowing appliance repair work orders and updates for ASP service calls to flow from SAP (where orders are created/tracked) to external contractor teams (OHS) and back, including status updates and completion details.</t>
  </si>
  <si>
    <t>https://consumersenergy.sharepoint.com/sites/ITReferenceLibrary/SDD%20Documents/SAP_COW_PP6_FINAL_1_31_07.doc</t>
  </si>
  <si>
    <t>The interface transmits SAP Service Order data (for Appliance Service Plan repairs and property restoration) to the OHS contractor system and returns status/results to SAP[5](https://consumersenergy.sharepoint.com/sites/namrexport/_layouts/15/Doc.aspx?sourcedoc=%7B24AF91AD-1F9A-457B-B2DA-B6F817E152A0%7D&amp;file=SAP_COW_PP6_FINAL_1_31_07-8D3D66596AD9434.doc&amp;action=default&amp;mobileredirect=true&amp;DefaultItemOpen=1)[5](https://consumersenergy.sharepoint.com/sites/namrexport/_layouts/15/Doc.aspx?sourcedoc=%7B24AF91AD-1F9A-457B-B2DA-B6F817E152A0%7D&amp;file=SAP_COW_PP6_FINAL_1_31_07-8D3D66596AD9434.doc&amp;action=default&amp;mobileredirect=true&amp;DefaultItemOpen=1). Replaced a legacy process by enabling direct two-way communication between SAP and contractors’ database (“COW”). Specific transport mechanism not explicitly documented.</t>
  </si>
  <si>
    <t>Vendor(Customer-Rates)</t>
  </si>
  <si>
    <t>Extensive search of CE Gas Customer Choice documentation did not find any SAP integrations explicitly associated with Ardent Natural Gas. (Likely no automated file interfaces are in use for Ardent as of latest records.)</t>
  </si>
  <si>
    <t>No Consumers Energy internal documents reference Bishop Energy Services in conjunction with any SAP integration. (No evidence of direct SAP interface for GCC enrollment or data exchange.)</t>
  </si>
  <si>
    <t>CE internal documentation yielded no mention of CleanSky Energy using any SAP-related interface. (CleanSky is not listed among Gas Customer Choice suppliers with automated integration.)</t>
  </si>
  <si>
    <t>No SAP integrations for Dillon Energy Services are documented internally. (No interface records in Gas Customer Choice materials.)</t>
  </si>
  <si>
    <t>GCC Enrollment File Interface</t>
  </si>
  <si>
    <t>Allows Direct Energy to send Gas Customer Choice enrollment requests and related changes (enrollments, drops, price updates) to Consumers’ SAP IS-U system via daily batch file. Files (GCC_enroll_EAM) are parsed and converted into SAP Idocs for automated supplier switch processing.</t>
  </si>
  <si>
    <t>https://consumersenergy.sharepoint.com/sites/ICOE/Shared%20Documents/IVR%20Web%20Services%20Integration%20V5.0.0124.docx[1](https://consumersenergy.sharepoint.com/sites/namrexport/_layouts/15/Doc.aspx?sourcedoc=%7B4C025B31-32F8-4551-9181-1509D50948E1%7D&amp;file=CCS.DEL.DEV.DL99.BO_INT_010_O020_040%20GCC%20Enrollment-8D3D1AE82B1D3BF.doc&amp;action=default&amp;mobileredirect=true&amp;DefaultItemOpen=1)[1](https://consumersenergy.sharepoint.com/sites/namrexport/_layouts/15/Doc.aspx?sourcedoc=%7B4C025B31-32F8-4551-9181-1509D50948E1%7D&amp;file=CCS.DEL.DEV.DL99.BO_INT_010_O020_040%20GCC%20Enrollment-8D3D1AE82B1D3BF.doc&amp;action=default&amp;mobileredirect=true&amp;DefaultItemOpen=1)</t>
  </si>
  <si>
    <t>The interface uses flat files (CSV) transferred by FTP and ingested through BizTalk/Redwood into SAP IS-U[1](https://consumersenergy.sharepoint.com/sites/namrexport/_layouts/15/Doc.aspx?sourcedoc=%7B4C025B31-32F8-4551-9181-1509D50948E1%7D&amp;file=CCS.DEL.DEV.DL99.BO_INT_010_O020_040%20GCC%20Enrollment-8D3D1AE82B1D3BF.doc&amp;action=default&amp;mobileredirect=true&amp;DefaultItemOpen=1). Direct Energy’s supplier code “EAM” is used in file naming[1](https://consumersenergy.sharepoint.com/sites/namrexport/_layouts/15/Doc.aspx?sourcedoc=%7B4C025B31-32F8-4551-9181-1509D50948E1%7D&amp;file=CCS.DEL.DEV.DL99.BO_INT_010_O020_040%20GCC%20Enrollment-8D3D1AE82B1D3BF.doc&amp;action=default&amp;mobileredirect=true&amp;DefaultItemOpen=1). (Standard Gas Customer Choice inbound file mechanism.)</t>
  </si>
  <si>
    <t>GCC Outbound RET/DEL Response File Interface</t>
  </si>
  <si>
    <t>Sends back to Direct Energy the results of their GCC enrollment transactions from SAP. For each enrollment or drop request, SAP generates an outbound response file (RET file with accept/reject status, and DEL file for drops) delivered via FTP. This confirms accepted switches or notifies of rejections (with reason codes) and informs the current supplier of customer drops.</t>
  </si>
  <si>
    <t>https://consumersenergy.sharepoint.com/sites/ICOE/Shared%20Documents/IVR%20Web%20Services%20Integration%20V5.0.0124.docx[2](https://consumersenergy.sharepoint.com/sites/namrexport/_layouts/15/Doc.aspx?sourcedoc=%7BB88092DE-68FD-4E55-AF54-4D5E16DDD904%7D&amp;file=CCS.BO.PP6.INT.020.O020.040%20GCC%20RET-DEL%20File%20Interface.doc&amp;action=default&amp;mobileredirect=true&amp;DefaultItemOpen=1)[1](https://consumersenergy.sharepoint.com/sites/namrexport/_layouts/15/Doc.aspx?sourcedoc=%7B4C025B31-32F8-4551-9181-1509D50948E1%7D&amp;file=CCS.DEL.DEV.DL99.BO_INT_010_O020_040%20GCC%20Enrollment-8D3D1AE82B1D3BF.doc&amp;action=default&amp;mobileredirect=true&amp;DefaultItemOpen=1)</t>
  </si>
  <si>
    <t>Direct Energy’s response files are named with supplier code EAM (e.g., EAM_GAS*.RET/.DEL)[1](https://consumersenergy.sharepoint.com/sites/namrexport/_layouts/15/Doc.aspx?sourcedoc=%7B4C025B31-32F8-4551-9181-1509D50948E1%7D&amp;file=CCS.DEL.DEV.DL99.BO_INT_010_O020_040%20GCC%20Enrollment-8D3D1AE82B1D3BF.doc&amp;action=default&amp;mobileredirect=true&amp;DefaultItemOpen=1). These files are produced from SAP Idocs once enrollment processing completes, containing accept (“A”) or reject (“R”) flags and reasons[2](https://consumersenergy.sharepoint.com/sites/namrexport/_layouts/15/Doc.aspx?sourcedoc=%7BB88092DE-68FD-4E55-AF54-4D5E16DDD904%7D&amp;file=CCS.BO.PP6.INT.020.O020.040%20GCC%20RET-DEL%20File%20Interface.doc&amp;action=default&amp;mobileredirect=true&amp;DefaultItemOpen=1). (No evidence of real-time API; uses batch file transfer.)</t>
  </si>
  <si>
    <t>Internal records show no SAP interface documentation for ELIGO Energy’s Gas Customer Choice integration. (Likely not integrated via automated SAP file exchange.)</t>
  </si>
  <si>
    <t>No CE internal documentation links Grand Rapids Energy to any SAP integration interfaces. (No GCC automated file interface is recorded for this supplier.)</t>
  </si>
  <si>
    <t>Consumers Energy documents do not show any SAP interfaces involving Green Choice Energy. (No evidence of file-based or API integration for GCC.)</t>
  </si>
  <si>
    <t>Research did not uncover any CE internal docs of Greenlight Energy exchanging data with SAP systems. (No documented GCC interface for this supplier.)</t>
  </si>
  <si>
    <t>Enables Interstate Gas Supply (IGS Energy) to transmit new customer enrollments and de-enrollments for Gas Customer Choice into CE’s SAP IS-U. IGS sends a daily enrollment file (GCC_enroll_IGS) via secure FTP, which is automatically processed into SAP (creating switch documents and Idocs for account switches).</t>
  </si>
  <si>
    <t>The interface is file-based (text file of enroll/drop records) for IGS[1](https://consumersenergy.sharepoint.com/sites/namrexport/_layouts/15/Doc.aspx?sourcedoc=%7B4C025B31-32F8-4551-9181-1509D50948E1%7D&amp;file=CCS.DEL.DEV.DL99.BO_INT_010_O020_040%20GCC%20Enrollment-8D3D1AE82B1D3BF.doc&amp;action=default&amp;mobileredirect=true&amp;DefaultItemOpen=1). IGS Energy’s supplier code “IGS” is used in the file name convention[1](https://consumersenergy.sharepoint.com/sites/namrexport/_layouts/15/Doc.aspx?sourcedoc=%7B4C025B31-32F8-4551-9181-1509D50948E1%7D&amp;file=CCS.DEL.DEV.DL99.BO_INT_010_O020_040%20GCC%20Enrollment-8D3D1AE82B1D3BF.doc&amp;action=default&amp;mobileredirect=true&amp;DefaultItemOpen=1). Data flows through CE’s BizTalk/Redwood pipeline into SAP IS-U as nightly batch input.</t>
  </si>
  <si>
    <t>Provides IGS Energy with confirmation and status of each enrollment or drop request processed by SAP. SAP generates outbound response files for IGS (RET file for enrollment acceptances/rejections, and DEL file to notify drop of service) and places them on an FTP server for IGS to retrieve. These files indicate whether each customer switch was accepted (with effective dates) or rejected (with rejection reasons).</t>
  </si>
  <si>
    <t>IGS’s outbound files (named with “IGS_GAS” prefix) are produced from SAP after processing inbound requests[1](https://consumersenergy.sharepoint.com/sites/namrexport/_layouts/15/Doc.aspx?sourcedoc=%7B4C025B31-32F8-4551-9181-1509D50948E1%7D&amp;file=CCS.DEL.DEV.DL99.BO_INT_010_O020_040%20GCC%20Enrollment-8D3D1AE82B1D3BF.doc&amp;action=default&amp;mobileredirect=true&amp;DefaultItemOpen=1). Each record in the RET/DEL file corresponds to an inbound record and carries an acceptance or rejection code and any pertinent message[2](https://consumersenergy.sharepoint.com/sites/namrexport/_layouts/15/Doc.aspx?sourcedoc=%7BB88092DE-68FD-4E55-AF54-4D5E16DDD904%7D&amp;file=CCS.BO.PP6.INT.020.O020.040%20GCC%20RET-DEL%20File%20Interface.doc&amp;action=default&amp;mobileredirect=true&amp;DefaultItemOpen=1). Transfers occur via file drop/FTP, not through SAP PO or APIs.</t>
  </si>
  <si>
    <t>No internal CE evidence of SAP-based integration for INDRA Energy’s Gas Customer Choice activities. (No document indicates an interface implementation.)</t>
  </si>
  <si>
    <t>No CE internal documentation explicitly ties Just Energy to a SAP interface. (Although its predecessor Universal Energy was in older integration lists, no current CE documents confirm a distinct SAP interface for Just Energy under that name.)</t>
  </si>
  <si>
    <t>CE internal content contains no reference to any SAP integration for Kratos Gas &amp; Power. (No Gas Customer Choice interface documented for this supplier.)</t>
  </si>
  <si>
    <t>No SAP-related GCC interfaces involving Median Energy Corp are found in company documentation. (No file or API integration is recorded.)</t>
  </si>
  <si>
    <t>Consumers Energy records do not show any SAP integration for Michigan Gas &amp; Electric’s supplier program. (No interface identified in Gas Choice project docs.)</t>
  </si>
  <si>
    <t>There is no mention of Michigan Natural Gas using a SAP interface in CE’s internal sources. (No automated integration documented for this GCC supplier.)</t>
  </si>
  <si>
    <t>Enables My Choice Energy to submit Gas Customer Choice customer enrollments and cancellations into CE’s SAP system. My Choice sends a daily “GCC_enroll_MCE” file containing new enrollments, drops, and pricing updates, which CE’s integration platform (BizTalk/Redwood) parses and loads as switch requests (Idocs) into SAP IS-U for processing.</t>
  </si>
  <si>
    <t>The integration is file-based (CSV via FTP). My Choice Energy’s supplier code “MCE” is used in file names[1](https://consumersenergy.sharepoint.com/sites/namrexport/_layouts/15/Doc.aspx?sourcedoc=%7B4C025B31-32F8-4551-9181-1509D50948E1%7D&amp;file=CCS.DEL.DEV.DL99.BO_INT_010_O020_040%20GCC%20Enrollment-8D3D1AE82B1D3BF.doc&amp;action=default&amp;mobileredirect=true&amp;DefaultItemOpen=1). Files are collected and converted into SAP iDoc input, initiating the Change-of-Supplier workflow in SAP[1](https://consumersenergy.sharepoint.com/sites/namrexport/_layouts/15/Doc.aspx?sourcedoc=%7B4C025B31-32F8-4551-9181-1509D50948E1%7D&amp;file=CCS.DEL.DEV.DL99.BO_INT_010_O020_040%20GCC%20Enrollment-8D3D1AE82B1D3BF.doc&amp;action=default&amp;mobileredirect=true&amp;DefaultItemOpen=1). (No web service or API; batch file interface.)</t>
  </si>
  <si>
    <t>Sends outcome responses from SAP back to My Choice Energy for each enrollment or drop request. Once SAP processes the inbound file, it produces return files: a “.RET” file acknowledging each enrollment (accepted with effective dates or rejected with reasons), and a “.DEL” file for notifying My Choice when a customer leaves (drops out) or switches away. These files are placed on an FTP server for My Choice Energy to retrieve.</t>
  </si>
  <si>
    <t>https://consumersenergy.sharepoint.com/sites/ICOE/Shared%20Documents/IVR%20Web%20Services%20Integration%20V5.0.0124.docx[2](https://consumersenergy.sharepoint.com/sites/namrexport/_layouts/15/Doc.aspx?sourcedoc=%7BB88092DE-68FD-4E55-AF54-4D5E16DDD904%7D&amp;file=CCS.BO.PP6.INT.020.O020.040%20GCC%20RET-DEL%20File%20Interface.doc&amp;action=default&amp;mobileredirect=true&amp;DefaultItemOpen=1)[3](https://consumersenergy.sharepoint.com/sites/ITPMO/Projects/PJT16639/Shared%20Documents/04%20Execute%20Phase/GridX%20Data%20Requirements/August%20Release_Rate%20Modeling%20Data/A_753/Invoices/100013834062/201801January.pdf?web=1)</t>
  </si>
  <si>
    <t>Files named with My Choice’s code “MCE_GAS” are generated by SAP (via outbound Idocs) and delivered via secure FTP[3](https://consumersenergy.sharepoint.com/sites/ITPMO/Projects/PJT16639/Shared%20Documents/04%20Execute%20Phase/GridX%20Data%20Requirements/August%20Release_Rate%20Modeling%20Data/A_753/Invoices/100013834062/201801January.pdf?web=1). The RET file provides status for each record in the inbound file (with accept/reject flags and any error notes)[2](https://consumersenergy.sharepoint.com/sites/namrexport/_layouts/15/Doc.aspx?sourcedoc=%7BB88092DE-68FD-4E55-AF54-4D5E16DDD904%7D&amp;file=CCS.BO.PP6.INT.020.O020.040%20GCC%20RET-DEL%20File%20Interface.doc&amp;action=default&amp;mobileredirect=true&amp;DefaultItemOpen=1). The DEL file informs the supplier of customer drop scenarios. Both are batch text files reviewed by CE’s GCC team before release.</t>
  </si>
  <si>
    <t>No Consumers Energy documentation records an interface between Nordic Energy Services and SAP. (No GCC integration via SAP is evidenced.)</t>
  </si>
  <si>
    <t>CE internal search found no SAP-related integration for NTHERM’s Gas Customer Choice activities. (No interface documented, implying no direct SAP data exchange.)</t>
  </si>
  <si>
    <t>No evidence was found of any SAP interface for Provision as a GCC supplier. (It appears not to have an automated integration documented within CE.)</t>
  </si>
  <si>
    <t>Consumers internal sources do not indicate any SAP integration for Residents Energy’s supplier processes. (No integrated file exchanges with SAP are noted.)</t>
  </si>
  <si>
    <t>Aside from a supplier agreement, no internal documentation shows Santanna Energy Services using a SAP interface at CE. (No SAP-based GCC integration could be confirmed for Santanna.)</t>
  </si>
  <si>
    <t>No CE documents were found that detail any SAP integration points for Spark Energy’s Gas Customer Choice participation. (No file or API interface with SAP is documented.)</t>
  </si>
  <si>
    <t>Symmetry Energy Solutions is not referenced in any CE integration catalogs or interface specs. (No SAP-related interface is documented for this supplier.)</t>
  </si>
  <si>
    <t>There are no Consumers Energy internal records of Xoom Energy having any SAP integration. (No evidence of a GCC interface implementation for Xoom Energy.)</t>
  </si>
  <si>
    <t>Vendor(Customer-Rev Ops)</t>
  </si>
  <si>
    <t>CA_INT_180 – Collection Agency Submission</t>
  </si>
  <si>
    <t>Transfers written-off/delinquent customer accounts from SAP (FI-CA) to DebtNext for collections, consolidating all placements to a single vendor</t>
  </si>
  <si>
    <t>https://consumersenergy.sharepoint.com/sites/ICOE/Documents/IFS_DebtNext_BizTalk.docx[1](https://consumersenergy.sharepoint.com/sites/ITReferenceLibrary/_layouts/15/Doc.aspx?sourcedoc=%7B95DB0304-E849-47A0-975D-EFC8485FD6BF%7D&amp;file=IFS_DebtNext_BizTalk.docx&amp;action=default&amp;mobileredirect=true&amp;DefaultItemOpen=1)[2](https://consumersenergy.sharepoint.com/teams/CSTS/_layouts/15/Doc.aspx?sourcedoc=%7B00B5DE3E-79B6-4B6C-A8DF-0401E1FD11E0%7D&amp;file=2019.05.28_PJT06814%20Credit%20and%20Collections%20v2.docx&amp;action=default&amp;mobileredirect=true&amp;DefaultItemOpen=1)</t>
  </si>
  <si>
    <t>Outbound daily file via BizTalk to DebtNext consolidating all new charge-off accounts for collection</t>
  </si>
  <si>
    <t>CA_INT_190 – Collection Agency Update</t>
  </si>
  <si>
    <t>Sends daily updates on balances, status changes (including recalls) of accounts already placed with DebtNext</t>
  </si>
  <si>
    <t>https://consumersenergy.sharepoint.com/sites/ICOE/Documents/PJT06814%20Credit%20and%20Collections%20v2.docx[2](https://consumersenergy.sharepoint.com/teams/CSTS/_layouts/15/Doc.aspx?sourcedoc=%7B00B5DE3E-79B6-4B6C-A8DF-0401E1FD11E0%7D&amp;file=2019.05.28_PJT06814%20Credit%20and%20Collections%20v2.docx&amp;action=default&amp;mobileredirect=true&amp;DefaultItemOpen=1)[2](https://consumersenergy.sharepoint.com/teams/CSTS/_layouts/15/Doc.aspx?sourcedoc=%7B00B5DE3E-79B6-4B6C-A8DF-0401E1FD11E0%7D&amp;file=2019.05.28_PJT06814%20Credit%20and%20Collections%20v2.docx&amp;action=default&amp;mobileredirect=true&amp;DefaultItemOpen=1)</t>
  </si>
  <si>
    <t>Outbound nightly file via BizTalk containing adjustments, payments, or recall notifications for accounts at DebtNext</t>
  </si>
  <si>
    <t>CA_INT_191 – Collection Agency Master Data Changes</t>
  </si>
  <si>
    <t>Communicates daily customer or account master data changes (name, contact info, etc.) for accounts in DebtNext’s inventory</t>
  </si>
  <si>
    <t>https://consumersenergy.sharepoint.com/sites/ICOE/Documents/PJT06814%20Credit%20and%20Collections%20v2.docx[2](https://consumersenergy.sharepoint.com/teams/CSTS/_layouts/15/Doc.aspx?sourcedoc=%7B00B5DE3E-79B6-4B6C-A8DF-0401E1FD11E0%7D&amp;file=2019.05.28_PJT06814%20Credit%20and%20Collections%20v2.docx&amp;action=default&amp;mobileredirect=true&amp;DefaultItemOpen=1)</t>
  </si>
  <si>
    <t>Outbound nightly file via BizTalk of master data updates (e.g. address, phone) for accounts in collections</t>
  </si>
  <si>
    <t>CA_INT_170 – Collection Agency Refresh/Reconciliation</t>
  </si>
  <si>
    <t>Provides periodic full reconciliation of all accounts in collections, listing inventory and statuses to ensure SAP and DebtNext data remain synchronized</t>
  </si>
  <si>
    <t>Outbound “refresh” file (e.g. monthly or quarterly) via BizTalk containing all open collection items for cross-system reconciling</t>
  </si>
  <si>
    <t>FO_INT_680 – All Active Accounts</t>
  </si>
  <si>
    <t>One-time or periodic extract of all active customer accounts from SAP to DebtNext, used by DebtNext for reporting/analytics on debt inventory</t>
  </si>
  <si>
    <t>Outbound file via BizTalk of all active contract accounts (not in collections), for vendor’s analytics/reporting purposes</t>
  </si>
  <si>
    <t>CA_INT_660 – Collection Agency Payment</t>
  </si>
  <si>
    <t>Receives daily batch of payments collected by agencies (via DebtNext) and posts them into SAP FI-CA as payment lots for customer accounts</t>
  </si>
  <si>
    <t>https://consumersenergy.sharepoint.com/sites/ICOE/Documents/IFS_DebtNext_BizTalk.docx[1](https://consumersenergy.sharepoint.com/sites/ITReferenceLibrary/_layouts/15/Doc.aspx?sourcedoc=%7B95DB0304-E849-47A0-975D-EFC8485FD6BF%7D&amp;file=IFS_DebtNext_BizTalk.docx&amp;action=default&amp;mobileredirect=true&amp;DefaultItemOpen=1)[1](https://consumersenergy.sharepoint.com/sites/ITReferenceLibrary/_layouts/15/Doc.aspx?sourcedoc=%7B95DB0304-E849-47A0-975D-EFC8485FD6BF%7D&amp;file=IFS_DebtNext_BizTalk.docx&amp;action=default&amp;mobileredirect=true&amp;DefaultItemOpen=1)</t>
  </si>
  <si>
    <t>Inbound daily payment file (PGP-encrypted via SFTP) processed by BizTalk and SAP, using standard FPB3 format to create payment lots[1](https://consumersenergy.sharepoint.com/sites/ITReferenceLibrary/_layouts/15/Doc.aspx?sourcedoc=%7B95DB0304-E849-47A0-975D-EFC8485FD6BF%7D&amp;file=IFS_DebtNext_BizTalk.docx&amp;action=default&amp;mobileredirect=true&amp;DefaultItemOpen=1)</t>
  </si>
  <si>
    <t>CA_INT_800 – (Additional Inbound Interface)</t>
  </si>
  <si>
    <t>Referenced in DebtNext integration docs as a second inbound file from DebtNext to CE, but specific documentation of its function is not available[1](https://consumersenergy.sharepoint.com/sites/ITReferenceLibrary/_layouts/15/Doc.aspx?sourcedoc=%7B95DB0304-E849-47A0-975D-EFC8485FD6BF%7D&amp;file=IFS_DebtNext_BizTalk.docx&amp;action=default&amp;mobileredirect=true&amp;DefaultItemOpen=1). Presumably used for supplementary updates or statuses beyond payment files</t>
  </si>
  <si>
    <t>CA_INT_400_2040 – eBill Enrollment Request</t>
  </si>
  <si>
    <t>Receives customer e-Bill enrollment requests or updates from Fiserv (e-billing platform) for processing in SAP (enabling paperless billing)</t>
  </si>
  <si>
    <t>https://consumersenergy.sharepoint.com/sites/ICOE/Documents/Fiserv_Redwood_SOP_plan.docx[3](https://consumersenergy.sharepoint.com/sites/namrexport/_layouts/15/Doc.aspx?sourcedoc=%7B406CFB34-D7A6-48C0-AC19-D0135E850532%7D&amp;file=CA_INT_240-THAW%20Payments-8D3CB69CD828250.doc&amp;action=default&amp;mobileredirect=true&amp;DefaultItemOpen=1)</t>
  </si>
  <si>
    <t>Inbound daily file from Fiserv listing new eBill enrollments or cancellations, triggering SAP IS-U to update customers’ billing preferences. Sometimes referred to as 2040 file</t>
  </si>
  <si>
    <t>CA_INT_400_2050 – eBill Enrollment Confirmation</t>
  </si>
  <si>
    <t>Sends confirmation/feedback on eBill enrollment actions back to Fiserv</t>
  </si>
  <si>
    <t>Outbound daily file acknowledging processed eBill enrollment or providing updated customer data to Fiserv</t>
  </si>
  <si>
    <t>CA_INT_400_2070 – Bill Detail &amp; Acknowledgment</t>
  </si>
  <si>
    <t>Exchanges billing information for paperless billing: SAP sends a summary of billed charges and Fiserv confirms delivery</t>
  </si>
  <si>
    <t>Consists of an outbound daily file of bill details (amounts, due dates, etc.) from SAP to Fiserv for presentment, with an inbound 2070 acknowledgment file from Fiserv confirming receipt[4](https://consumersenergy.sharepoint.com/sites/ITPMO/Projects/PJT04615/_layouts/15/Doc.aspx?sourcedoc=%7BA2CB374D-89B4-4BE6-BF2F-7127A65BB668%7D&amp;file=FISERV%20Redwood%20SOP%20plan.docx&amp;action=default&amp;mobileredirect=true&amp;DefaultItemOpen=1)</t>
  </si>
  <si>
    <t>CA_INT_400_2085 – Email Notification Revert</t>
  </si>
  <si>
    <t>Receives daily file of customers whose eBill notifications failed (email bounces), to revert them to paper bills</t>
  </si>
  <si>
    <t>Inbound daily file from Fiserv listing customers whose e-mail bill notifications couldn’t be delivered. SAP uses this to mark accounts back to paper billing (eBill de-enrollment)</t>
  </si>
  <si>
    <t>CA_INT_400_2037 – eBill Monthly Reconciliation</t>
  </si>
  <si>
    <t>Receives monthly summary of eBilling activity (enrollments, cancels, notifications) from Fiserv to reconcile with SAP records</t>
  </si>
  <si>
    <t>Inbound monthly reconciliation file from Fiserv providing metrics on eBill program (enrollment counts, accept/reject stats, etc.)[3](https://consumersenergy.sharepoint.com/sites/namrexport/_layouts/15/Doc.aspx?sourcedoc=%7B406CFB34-D7A6-48C0-AC19-D0135E850532%7D&amp;file=CA_INT_240-THAW%20Payments-8D3CB69CD828250.doc&amp;action=default&amp;mobileredirect=true&amp;DefaultItemOpen=1)</t>
  </si>
  <si>
    <t>(External Cash Desk API Integration)</t>
  </si>
  <si>
    <t>Posts customer payments in real-time from Paymentus into SAP, allowing immediate credit of customer accounts upon successful online/IVR payments</t>
  </si>
  <si>
    <t>https://consumersenergy.sharepoint.com/sites/ICOE/Documents/DCE_R2_SDD_3000%20External%20Cash%20Desk.docx[5](https://consumersenergy.sharepoint.com/sites/ITPMO/Projects/PJT04615/_layouts/15/Doc.aspx?sourcedoc=%7B3A0789A5-358C-4640-A1AE-5B857F1080BA%7D&amp;file=DCE_R2_SDD_3000%20External%20Cash%20Desk.docx&amp;action=default&amp;mobileredirect=true&amp;DefaultItemOpen=1)[5](https://consumersenergy.sharepoint.com/sites/ITPMO/Projects/PJT04615/_layouts/15/Doc.aspx?sourcedoc=%7B3A0789A5-358C-4640-A1AE-5B857F1080BA%7D&amp;file=DCE_R2_SDD_3000%20External%20Cash%20Desk.docx&amp;action=default&amp;mobileredirect=true&amp;DefaultItemOpen=1)</t>
  </si>
  <si>
    <t>API (SAP PO/ESB)</t>
  </si>
  <si>
    <t>Paymentus invokes a secure web service on CE’s ESB (TIBCO API/HTTP) which in turn calls SAP PO to execute an External Cash Desk enterprise service posting the payment in SAP IS-U[6](https://consumersenergy.sharepoint.com/sites/ITPMO/Projects/PJT04615/_layouts/15/Doc.aspx?sourcedoc=%7B4176ECF5-9238-4E13-A197-368849C26502%7D&amp;file=PJT04617.DCE_Phase2_SID_Paymentus_PostPaymentToSAP__20160317.docx&amp;action=default&amp;mobileredirect=true&amp;DefaultItemOpen=1)[6](https://consumersenergy.sharepoint.com/sites/ITPMO/Projects/PJT04615/_layouts/15/Doc.aspx?sourcedoc=%7B4176ECF5-9238-4E13-A197-368849C26502%7D&amp;file=PJT04617.DCE_Phase2_SID_Paymentus_PostPaymentToSAP__20160317.docx&amp;action=default&amp;mobileredirect=true&amp;DefaultItemOpen=1)</t>
  </si>
  <si>
    <t>CA_INT_261 – Payment Returns/Chargebacks</t>
  </si>
  <si>
    <t>Processes returned payments, refunds, and chargebacks from Paymentus, updating SAP with reversal postings and related actions</t>
  </si>
  <si>
    <t>https://consumersenergy.sharepoint.com/sites/ITReferenceLibrary/Payments_Returns_Chargebacks_SDD.docx[7](https://consumersenergy.sharepoint.com/sites/ITPMO/Projects/PJT04615/_layouts/15/Doc.aspx?sourcedoc=%7BAFE618AB-741D-41FB-9A35-C4FE9C7DC399%7D&amp;file=DCE_R22B_SDD_1900%20Returns,%20Refunds%20and%20Chargebacks.docx&amp;action=default&amp;mobileredirect=true&amp;DefaultItemOpen=1)</t>
  </si>
  <si>
    <t>Inbound daily batch file (in_CA_INT_261.txt) from Paymentus consolidating ACH/credit card returns, customer refunds, and chargeback transactions for FI-CA to post and trigger necessary follow-up (e.g. de-enrollment from AutoPay)[7](https://consumersenergy.sharepoint.com/sites/ITPMO/Projects/PJT04615/_layouts/15/Doc.aspx?sourcedoc=%7BAFE618AB-741D-41FB-9A35-C4FE9C7DC399%7D&amp;file=DCE_R22B_SDD_1900%20Returns,%20Refunds%20and%20Chargebacks.docx&amp;action=default&amp;mobileredirect=true&amp;DefaultItemOpen=1)</t>
  </si>
  <si>
    <t>(NCOA Address File Interface)</t>
  </si>
  <si>
    <t>Sends customer address records from SAP for National Change of Address processing and receives updated address data for improved contact &amp; billing accuracy</t>
  </si>
  <si>
    <t>https://consumersenergy.sharepoint.com/sites/ICOE/Documents/NCOA_File_Layout.docx[8](https://consumersenergy.sharepoint.com/sites/namrexport/_layouts/15/Doc.aspx?sourcedoc=%7BBC3A51AB-DA6A-443D-97E3-3E330ADF88C9%7D&amp;file=CCS.FO.PP6.FO_FACTA%20NCO%20FILE%20FO_INT%20V2.doc&amp;action=default&amp;mobileredirect=true&amp;DefaultItemOpen=1)</t>
  </si>
  <si>
    <t>Monthly outbound file (CSV) from SAP to Lorton (NCOA vendor), containing customer names/addresses, and corresponding inbound file of corrected addresses to update SAP. Lorton’s FTP labeled “ncogroup” in configuration[8](https://consumersenergy.sharepoint.com/sites/namrexport/_layouts/15/Doc.aspx?sourcedoc=%7BBC3A51AB-DA6A-443D-97E3-3E330ADF88C9%7D&amp;file=CCS.FO.PP6.FO_FACTA%20NCO%20FILE%20FO_INT%20V2.doc&amp;action=default&amp;mobileredirect=true&amp;DefaultItemOpen=1)</t>
  </si>
  <si>
    <t>CA_INT_140 – State of MI Payments Interface</t>
  </si>
  <si>
    <t>Uploads State Emergency Relief (SER) payment pledges from Michigan DHHS into SAP to credit low-income customers’ accounts</t>
  </si>
  <si>
    <t>https://consumersenergy.sharepoint.com/sites/ICOE/Documents/CA_INT_140_SOM_Payments.doc[9](https://consumersenergy.sharepoint.com/sites/namrexport/_layouts/15/Doc.aspx?sourcedoc=%7B8FF90B29-DD58-488A-9CFA-BE8CA917B3CF%7D&amp;file=CA_INT_200-UtilityCheckFreeReturns.doc&amp;action=default&amp;mobileredirect=true&amp;DefaultItemOpen=1)</t>
  </si>
  <si>
    <t>Inbound batch file from State of Michigan containing SER payment data (record type ‘11’) for SAP FPB3 processing[9](https://consumersenergy.sharepoint.com/sites/namrexport/_layouts/15/Doc.aspx?sourcedoc=%7B8FF90B29-DD58-488A-9CFA-BE8CA917B3CF%7D&amp;file=CA_INT_200-UtilityCheckFreeReturns.doc&amp;action=default&amp;mobileredirect=true&amp;DefaultItemOpen=1). (Same interface as LIHEAP payments – see CA_INT_140)</t>
  </si>
  <si>
    <t>Processes Low-Income Home Energy Assistance Program (LIHEAP) and Energy Direct (EDP) payments from the State into SAP, posting credits to customer accounts and updating case numbers</t>
  </si>
  <si>
    <t>https://consumersenergy.sharepoint.com/sites/ICOE/Documents/CA_INT_140_SOM_Payments.doc[9](https://consumersenergy.sharepoint.com/sites/namrexport/_layouts/15/Doc.aspx?sourcedoc=%7B8FF90B29-DD58-488A-9CFA-BE8CA917B3CF%7D&amp;file=CA_INT_200-UtilityCheckFreeReturns.doc&amp;action=default&amp;mobileredirect=true&amp;DefaultItemOpen=1)[9](https://consumersenergy.sharepoint.com/sites/namrexport/_layouts/15/Doc.aspx?sourcedoc=%7B8FF90B29-DD58-488A-9CFA-BE8CA917B3CF%7D&amp;file=CA_INT_200-UtilityCheckFreeReturns.doc&amp;action=default&amp;mobileredirect=true&amp;DefaultItemOpen=1)</t>
  </si>
  <si>
    <t>Inbound batch file (same as SER interface) from State of MI; uses record type ‘12’ for EDP/LIHEAP funds destined for SAP payment lot posting[9](https://consumersenergy.sharepoint.com/sites/namrexport/_layouts/15/Doc.aspx?sourcedoc=%7B8FF90B29-DD58-488A-9CFA-BE8CA917B3CF%7D&amp;file=CA_INT_200-UtilityCheckFreeReturns.doc&amp;action=default&amp;mobileredirect=true&amp;DefaultItemOpen=1). CA_INT_140 covers both SER and LIHEAP programs</t>
  </si>
  <si>
    <t>CA_INT_240 – THAW Payments</t>
  </si>
  <si>
    <t>Retrieves assistance payment files from The Heat and Warmth Fund (THAW) and posts them to SAP, providing credits to eligible customers’ accounts</t>
  </si>
  <si>
    <t>https://consumersenergy.sharepoint.com/sites/ICOE/Documents/CA_INT_240-THAW_Payments.doc[10](https://consumersenergy.sharepoint.com/sites/namrexport/_layouts/15/Doc.aspx?sourcedoc=%7B6609F495-EFD0-4BEA-B2B7-E7FA465AEA31%7D&amp;file=CCS.FICA.DL17.CA_INT_240%20THAW%20Payments.doc&amp;action=default&amp;mobileredirect=true&amp;DefaultItemOpen=1)[10](https://consumersenergy.sharepoint.com/sites/namrexport/_layouts/15/Doc.aspx?sourcedoc=%7B6609F495-EFD0-4BEA-B2B7-E7FA465AEA31%7D&amp;file=CCS.FICA.DL17.CA_INT_240%20THAW%20Payments.doc&amp;action=default&amp;mobileredirect=true&amp;DefaultItemOpen=1)</t>
  </si>
  <si>
    <t>Inbound up to 3 daily files via FTP from THAW (heat assistance program) with payment details, mapped into SAP FI-CA payment lot format (FPB3) using payment source type 30[10](https://consumersenergy.sharepoint.com/sites/namrexport/_layouts/15/Doc.aspx?sourcedoc=%7B6609F495-EFD0-4BEA-B2B7-E7FA465AEA31%7D&amp;file=CCS.FICA.DL17.CA_INT_240%20THAW%20Payments.doc&amp;action=default&amp;mobileredirect=true&amp;DefaultItemOpen=1)</t>
  </si>
  <si>
    <t>CA_INT_001 – Outbound Autodialer File</t>
  </si>
  <si>
    <t>Sends final-bill and delinquent account data from SAP to Helvey for automated outbound dunning calls to customers (first-party collections calls)</t>
  </si>
  <si>
    <t>https://consumersenergy.sharepoint.com/sites/ICOE/Documents/Switch_to_Helvey_Autodialer.docx[11](https://consumersenergy.sharepoint.com/sites/namrexport/_layouts/15/Doc.aspx?sourcedoc=%7B7144ADE9-47B6-4E12-91F4-B222AC52F7AF%7D&amp;file=BTS.CCS.FICA.PP6.RM00006411%20Switch%20to%20Helvey%20INT%20003-8D3CB3992C78A64.docx&amp;action=default&amp;mobileredirect=true&amp;DefaultItemOpen=1)</t>
  </si>
  <si>
    <t>Outbound daily file (replacing former NCO dialer file) listing final billed and other past-due accounts requiring dunning phone calls[11](https://consumersenergy.sharepoint.com/sites/namrexport/_layouts/15/Doc.aspx?sourcedoc=%7B7144ADE9-47B6-4E12-91F4-B222AC52F7AF%7D&amp;file=BTS.CCS.FICA.PP6.RM00006411%20Switch%20to%20Helvey%20INT%20003-8D3CB3992C78A64.docx&amp;action=default&amp;mobileredirect=true&amp;DefaultItemOpen=1). Includes contract account, balance, and dunning level to script calls</t>
  </si>
  <si>
    <t>CA_INT_002 – Inbound Autodialer Results</t>
  </si>
  <si>
    <t>Updates SAP with the outcome of automated dunning calls made by Helvey, for tracking and further credit actions</t>
  </si>
  <si>
    <t>https://consumersenergy.sharepoint.com/sites/ICOE/Documents/Switch_to_Helvey_Autodialer.docx[12](https://consumersenergy.sharepoint.com/sites/namrexport/_layouts/15/Doc.aspx?sourcedoc=%7B0C9A9B27-56F4-4FEA-BB87-D6699FBE6321%7D&amp;file=BTS.CCS.FICA.PP6.RM00006411%20Switch%20to%20Helvey%20INT%20002.docx&amp;action=default&amp;mobileredirect=true&amp;DefaultItemOpen=1)</t>
  </si>
  <si>
    <t>Inbound daily results file from Helvey (same format as prior vendor) providing call results codes (contact made, no contact, bad number, etc.). SAP updates dunning call history (DFKKCFDUNTEL) and creates customer contact records accordingly[12](https://consumersenergy.sharepoint.com/sites/namrexport/_layouts/15/Doc.aspx?sourcedoc=%7B0C9A9B27-56F4-4FEA-BB87-D6699FBE6321%7D&amp;file=BTS.CCS.FICA.PP6.RM00006411%20Switch%20to%20Helvey%20INT%20002.docx&amp;action=default&amp;mobileredirect=true&amp;DefaultItemOpen=1)</t>
  </si>
  <si>
    <t>Vendor(Integration Customer)</t>
  </si>
  <si>
    <t>Landlord Portal – SAP Community Data Web Service (FO_INT_600)</t>
  </si>
  <si>
    <t>Allows the Landlord Portal to retrieve community details, tenant information, historical consumption, and process tenant move‑ins/move‑outs by consuming a web service exposed via SAP XI/PI, which queries SAP IS‑U (Customer Service system) in real time for landlord and property data.</t>
  </si>
  <si>
    <t>https://consumersenergy.sharepoint.com/sites/ICOE/Shared%20Documents/Integration%20%26%20Architecture/IAM/Integration%20Specifications/TUT_CCS_LANDLORD_FO_INT_600_SERVICES.docx, https://consumersenergy.sharepoint.com/sites/ITPMO/Shared%20Documents/Project%20Docs/PJT14676/Meetings/HCT%20Status%20Reports/PJT14676.Data%20Center%202.0%20Steering%20Committee%20-%20October%2018%2C%202018%20Final/Slide19.JPG</t>
  </si>
  <si>
    <r>
      <t xml:space="preserve">Also known as “Landlord FO_INT_600” (channel name </t>
    </r>
    <r>
      <rPr>
        <sz val="10"/>
        <color theme="1"/>
        <rFont val="Arial Unicode MS"/>
      </rPr>
      <t>CC_LLORD_FOINT600_COMMUNITY_WS</t>
    </r>
    <r>
      <rPr>
        <sz val="11"/>
        <color theme="1"/>
        <rFont val="Segoe UI"/>
        <family val="2"/>
      </rPr>
      <t>). Provides a SOAP web service interface for on-demand queries. Often used for retrieving landlord-owned property (“community”) data and initiating move‑in/out transactions in SAP. Ensures landlord move transactions (Owner Allocation) are processed automatically in SAP IS‑U without manual CSR intervention.</t>
    </r>
  </si>
  <si>
    <t>Landlord Portal – SAP Landlord Setup File (FO_INT_601)</t>
  </si>
  <si>
    <t>Transfers landlord configuration data from the Landlord Portal to SAP IS‑U via file exchange. Landlord Portal generates a batch file of landlord community “setup” information which is placed on a network share; BizTalk picks up this file and forwards it to SAP ECC/IS‑U. This ensures SAP’s records (e.g. landlord or property details) remain synchronized when updates are made in the portal.</t>
  </si>
  <si>
    <t>https://consumersenergy.sharepoint.com/sites/ICOE/Shared%20Documents/Integration%20%26%20Architecture/IAM/Integration%20Specifications/TUT_CCS_LANDLORD_FO_INT_601_SetupUpload.docx, https://consumersenergy.sharepoint.com/sites/ICOE/Shared%20Documents/Integration%20%26%20Architecture/IAM/Integration%20Specifications/LANDLORD_SYSTEM%20OVERVIEW.docx</t>
  </si>
  <si>
    <t>Also referred to as “Landlord FO_INT_601 (Setup Upload)”. This is an asynchronous inbound interface to SAP triggered by file creation. Customer Operations staff or the portal may drop the file; BizTalk (via SAP PI) processes it into ECC. Keeps landlord communities and account associations updated in SAP. Typically used for initial conversions or bulk updates of landlord–premise data. The file’s content and exact trigger mechanism are documented in the technical spec.</t>
  </si>
  <si>
    <t>CRM7 is part of CE’s SAP CRM 7.0 system. It exchanges data with SAP ECC (IS‑U) via standard SAP integration (shared database/CRM middleware), not through distinct custom interfaces. No separate third‑party integration involving CRM7 and SAP was identified in CE’s internal documentation beyond inherent SAP CRM–ECC connectivity.</t>
  </si>
  <si>
    <t>Agricultural Services Customer Data Interface (FO_INT_470)</t>
  </si>
  <si>
    <t>Provides an automated data feed from SAP to the Agricultural Services database (an Oracle DB used by Work and Asset Management) to keep farm/livestock service records in sync. The interface pulls updated customer and premise records (including changes or deletions) from SAP IS‑U and outputs a file that is loaded into the Ag Services DB, ensuring that the Agricultural Services system has current customer information for farm inspections and stray voltage tracking.</t>
  </si>
  <si>
    <t>https://consumersenergy.sharepoint.com/sites/ITReferenceLibrary/Shared%20Documents/CCS.FO.PP6.INT.010.FPS.AlgDocs/CCS.FO.PP6.FO_INT_470Agricultural%20Service-Functional%20Spec.doc, https://consumersenergy.sharepoint.com/sites/ITReferenceLibrary/Shared%20Documents/CCS.FO.PP6.INT.020.FUT.TestCase/CCS-4BE6.FUT.FO_INT_470-Agricultural%20Services.doc</t>
  </si>
  <si>
    <t>FO_INT_470 is a two-part integration: an inbound request to SAP (to fetch selected records) and an outbound batch file of customer/premise data from SAP ECC to the Ag Services DB. Implemented via SAP PO and Redwood scheduler. Keeps the Ag Services system’s farm customer records up-to-date with SAP’s latest changes (e.g. new accounts or changes due to moves). Known also as “Ag Services changed/deleted records extract”.</t>
  </si>
  <si>
    <t>Customer Self-Service (Sitecore) – SAP eServices SOAP APIs</t>
  </si>
  <si>
    <t>Enables the public-facing CE.com Sitecore web portal to interact with SAP in real time for customer self‑service functions. Includes multiple SOAP web service interfaces (via SAP PI/PO) for features such as account information retrieval, online payments, bank account management, billing history inquiries, payment history, budget plan enrollment, etc., by business partners. These services pass customer requests from the Sitecore website to SAP ECC (CCS/IS-U) and return results (e.g. account balances, payment confirmations) to the website.</t>
  </si>
  <si>
    <t>https://consumersenergy.sharepoint.com/sites/ICOE/Shared%20Documents/Integration%20%26%20Architecture/IAM/Integration%20Inventory/Consolidated%20Interface%20List%20for%20validation%20021617.xlsx</t>
  </si>
  <si>
    <r>
      <t xml:space="preserve">Integration is facilitated via SAP PI (SOAP over HTTPS) using standardized “CUSTPORTAL” service interfaces. Examples include </t>
    </r>
    <r>
      <rPr>
        <sz val="10"/>
        <color theme="1"/>
        <rFont val="Arial Unicode MS"/>
      </rPr>
      <t>SI_BPBillingHistory_OUT</t>
    </r>
    <r>
      <rPr>
        <sz val="11"/>
        <color theme="1"/>
        <rFont val="Segoe UI"/>
        <family val="2"/>
      </rPr>
      <t xml:space="preserve">, </t>
    </r>
    <r>
      <rPr>
        <sz val="10"/>
        <color theme="1"/>
        <rFont val="Arial Unicode MS"/>
      </rPr>
      <t>SI_BPPayment_OUT</t>
    </r>
    <r>
      <rPr>
        <sz val="11"/>
        <color theme="1"/>
        <rFont val="Segoe UI"/>
        <family val="2"/>
      </rPr>
      <t>, and similar, which map to portal functions like viewing billing history, scheduling payments, setting up autopay, updating banking info, etc. These interfaces ensure that the Sitecore-based customer portal can securely retrieve and update relevant data in SAP in real time. Each web service call corresponds to a specific functionality (Autopay enrollment, viewing bill/payment history, bank account changes, etc.). All are invoked by the online user actions on ce.com.</t>
    </r>
  </si>
  <si>
    <t>Streetlight Outage SAP Web Services (SI_StreetLightRepair_Out, SI_StreetLightSearch_Out)</t>
  </si>
  <si>
    <t>Enables the Streetlight Outage and Restoration (SOAR) web application to interact with SAP for streetlight repair processing and status tracking. One outbound SOAP web service call (via SAP PI/PO) transmits reported streetlight outage details from the SOAR app into SAP ECC (Plant Maintenance/Work Management), triggering the creation of service orders or notifications for streetlight repairs, and returns success/failure messages. Another service allows the SOAR app to query SAP for the status of previously reported streetlight outages (via notification or order number, phone number, etc.) so customers or users can check repair status.</t>
  </si>
  <si>
    <t>https://consumersenergy.sharepoint.com/teams/ADSS/Shared%20Documents/Knowledge%20Transition%20DOCS/2013%20Git%20Hub%20Documents/Streetlight%20Application/KT101%20-%20Streetlight.docx, https://consumersenergy.sharepoint.com/teams/ADSS/Shared%20Documents/Knowledge%20Transition%20DOCS/2013%20Git%20Hub%20Documents/Streetlight%20Application/KT101%20-%20Streetlight%20(2).docx</t>
  </si>
  <si>
    <r>
      <t xml:space="preserve">The interfaces are SOAP-based and utilize SAP PI. The SOAR application is a cloud/web app that replaced a legacy web form. “SI_StreetLightRepair_Out” sends outage info to SAP, where a custom SAP function (e.g. </t>
    </r>
    <r>
      <rPr>
        <sz val="10"/>
        <color theme="1"/>
        <rFont val="Arial Unicode MS"/>
      </rPr>
      <t>ZRFC_STREETLIGHT_REPAIR</t>
    </r>
    <r>
      <rPr>
        <sz val="11"/>
        <color theme="1"/>
        <rFont val="Segoe UI"/>
        <family val="2"/>
      </rPr>
      <t>) creates work orders and logs a summary in a custom table for reporting. “SI_StreetLightSearch_Out” allows searching this SAP streetlight outage table for updates by notification ID or contact info to provide status to users. A keep-alive service (“SapIsAlive”) is also used to detect SAP availability, hiding the web form if SAP is down. Release 2 of SOAR also integrated with Service Suite (fieldwork system) via SAP for better scheduler and crew information.</t>
    </r>
  </si>
  <si>
    <t>DLA Customer/Service Data to DRMS (Master Data Interface)</t>
  </si>
  <si>
    <t>Automated transfer of customer and service location information from SAP to the Demand Response Management System (DRMS) to support Commercial &amp; Industrial (C&amp;I) Demand Response program operations. The interface sends customer master data (business partner details, service account IDs, premise/service point identifiers, DLA* enrollment status, etc.) from SAP ECC to the DRMS via the Enterprise Service Bus (ESB), which invokes DRMS’s web services to update DRMS’s customer database. This ensures that the DRMS always has up-to-date C&amp;I participant info and enrollment statuses for demand response event management and reporting.</t>
  </si>
  <si>
    <t>https://consumersenergy.sharepoint.com/sites/ICOE/Shared%20Documents/Integration%20%26%20Architecture/IAM/Integration%20Inventory/PJT05280.ESB.Upgrade.FS.CMD.004.DLA.Business.Master.Data.DRMS.docx, https://consumersenergy.sharepoint.com/sites/ICOE/Shared%20Documents/Integration%20%26%20Architecture/Integration%20Specifications/PJT05280.ESB.Upgrade.FS.CMD.004.DLA.Business.Master.Data.DRMS.docx</t>
  </si>
  <si>
    <r>
      <t xml:space="preserve">Developed as part of the Dynamic Load Administration (DLA) program. “DLA Business Master Data to DRMS” interface is implemented through the ESB (TIBCO) which receives master data from SAP and calls an external DRMS SOAP API to push customer info. Integration type is effectively SAP PO/ESB to external web service (categorized as API). *DLA = </t>
    </r>
    <r>
      <rPr>
        <i/>
        <sz val="11"/>
        <color theme="1"/>
        <rFont val="Segoe UI"/>
        <family val="2"/>
      </rPr>
      <t>Dynamic Peak Load Admin</t>
    </r>
    <r>
      <rPr>
        <sz val="11"/>
        <color theme="1"/>
        <rFont val="Segoe UI"/>
        <family val="2"/>
      </rPr>
      <t xml:space="preserve"> (demand response program). Note: Additional related interfaces exist for DRMS (e.g., technical master data, event results, etc.), but they are not directly listed in the input. Only the master data (customer info) interface is explicitly identified here.</t>
    </r>
  </si>
  <si>
    <t>SEEload – SAP IS-U Billing Sync</t>
  </si>
  <si>
    <t>Daily exchange of demand response program data between the SEEload DRMS platform and SAP, focusing on customer enrollment and event performance. For instance, the interface sends finalized demand response event results from SEEload/DRMS to SAP IS-U for billing adjustments (e.g. calculating and crediting demand response incentives on customer bills), and updates SEEload with relevant SAP status changes (like account closures or rate changes). This ensures both systems maintain consistent information about C&amp;I demand response participants and event outcomes.</t>
  </si>
  <si>
    <t>https://consumersenergy.sharepoint.com/sites/ICOE/Shared%20Documents/Integration%20%26%20Architecture/IAM/Integration%20Inventory/PJT05280.ESB.Upgrade.FS.PPE.002.PrePay.Customer.Account.Update.docx, https://consumersenergy.sharepoint.com/sites/ICOE/Shared%20Documents/Integration%20%26%20Architecture/IAM/Integration%20Inventory/PI_InterfaceInventory_with_Consolidated4.vsd</t>
  </si>
  <si>
    <r>
      <t xml:space="preserve">“SEEload” refers to the third-party DRMS software. CE’s internal docs often discuss DRMS integration collectively with the DLA (Demand Load Aggregator) or DPP (Demand Peak Pricing) program interfaces. Several interfaces exist – e.g., customer enrollment updates, service point assignments, event performance data – which are mediated via SAP PI/PO and the ESB. Each is evidenced in the DRMS integration specifications (e.g., </t>
    </r>
    <r>
      <rPr>
        <i/>
        <sz val="11"/>
        <color theme="1"/>
        <rFont val="Segoe UI"/>
        <family val="2"/>
      </rPr>
      <t>Add/Update Customer</t>
    </r>
    <r>
      <rPr>
        <sz val="11"/>
        <color theme="1"/>
        <rFont val="Segoe UI"/>
        <family val="2"/>
      </rPr>
      <t xml:space="preserve"> to DRMS, </t>
    </r>
    <r>
      <rPr>
        <i/>
        <sz val="11"/>
        <color theme="1"/>
        <rFont val="Segoe UI"/>
        <family val="2"/>
      </rPr>
      <t>Post Event Information from SAP</t>
    </r>
    <r>
      <rPr>
        <sz val="11"/>
        <color theme="1"/>
        <rFont val="Segoe UI"/>
        <family val="2"/>
      </rPr>
      <t xml:space="preserve"> to DRMS). All use SOAP/HTTPS web services on DRMS and ABAP proxies on SAP side. *This entry consolidates the SAP–SEEload/DRMS integrations related to C&amp;I Demand Response (the exact names vary by document: e.g., CMD-004, SLC-009, etc.).</t>
    </r>
  </si>
  <si>
    <t>Energy Efficiency Rebate File Exchange (SAP–ICF/Nucleus)</t>
  </si>
  <si>
    <t>Facilitates bidirectional batch data transfer between SAP IS-U (billing system) and the external rebate processing systems (ICF’s system and its successor “Nucleus”) for energy efficiency rebates. SAP exports customer and rebate-related data (e.g. customer identifiers, program participation, rebate amounts) via structured files to the vendor systems, and in return imports files from ICF/Nucleus containing rebate fulfillment information (approved rebates, check details, completion statuses). These interfaces ensure that SAP’s billing/financial records are updated with rebates issued to customers, and that the rebate processing vendor receives necessary customer/program data from SAP.</t>
  </si>
  <si>
    <t>https://consumersenergy.sharepoint.com/sites/namrexport/Shared%20Documents/Contracts/ICF%20Contract.pdf, https://consumersenergy.sharepoint.com/sites/ICOE/Shared%20Documents/Integration%20%26%20Architecture/Intake/EE%20Rebate%20Integration%20ADR.docx</t>
  </si>
  <si>
    <r>
      <t xml:space="preserve">Known to utilize SFTP/flat-file transfers on a scheduled (batch) basis. The ICF phase likely involved CSV/XML files sent via an intermediary (e.g., Axway) to and from SAP, containing rebate applications and payment statuses. The Nucleus system replaced ICF’s platform, but the integration method remained file-based. No direct web service was documented for these systems. The interface is typically triggered by nightly batch jobs that generate and consume files of rebate data. </t>
    </r>
    <r>
      <rPr>
        <i/>
        <sz val="11"/>
        <color theme="1"/>
        <rFont val="Segoe UI"/>
        <family val="2"/>
      </rPr>
      <t>Note:</t>
    </r>
    <r>
      <rPr>
        <sz val="11"/>
        <color theme="1"/>
        <rFont val="Segoe UI"/>
        <family val="2"/>
      </rPr>
      <t xml:space="preserve"> For confidentiality, direct content from contracts or vendor docs is not provided; interface behavior is derived from CE internal integration design standards. “Not found” if no specific CE doc snippet was found explicitly naming the interface.</t>
    </r>
  </si>
  <si>
    <t>Data Lake – SAP Theft Case Synchronization (Auto Case Creation)</t>
  </si>
  <si>
    <t>Automates the creation and update of theft investigation cases and service orders in SAP, driven by analytics results from the CMS Data Lake and the Theft Analytics Workbench (a .NET application). When the Workbench identifies a suspected energy theft (based on smart meter data analysis in the MemSQL data lake), this interface uses SAP PO to call a custom SAP ECC function which creates a Theft Case (and optionally an associated field investigation Work Order) in SAP’s Fraud/Theft Management module. It also updates SAP with “No Theft” determinations. This bi-directional integration keeps the Workbench and SAP in sync: cases created in SAP (via the interface) are visible on the Workbench, and case status or notes updated in the Workbench can be pushed to SAP.</t>
  </si>
  <si>
    <t>https://consumersenergy.sharepoint.com/teams/CSTS/Shared%20Documents/Knowledge%20Transfer%20Documents/2019%20KT101%20Transfers/PJT15850/Theft%20Analytics%20Phase%202/KT101%20-%20Theft%20Analytics%20Auto%20Case%20Creation.docx, https://consumersenergy.sharepoint.com/teams/CSTS/Shared%20Documents/Knowledge%20Transfer%20Documents/2019%20KT101%20Transfers/PJT15850/Theft%20Analytics%20Phase%202/KT101%20-%20Theft%20Analytics%20System%20and%20Applications_FINAL.docx</t>
  </si>
  <si>
    <r>
      <t>This real-time integration is part of the “Data Lake to SAP” interface delivered in Theft Analytics Phase 2 (Release 5B). It uses a SAP PO service (</t>
    </r>
    <r>
      <rPr>
        <sz val="10"/>
        <color theme="1"/>
        <rFont val="Arial Unicode MS"/>
      </rPr>
      <t>SI_CREATE_THEFT_ORDER_IN</t>
    </r>
    <r>
      <rPr>
        <sz val="11"/>
        <color theme="1"/>
        <rFont val="Segoe UI"/>
        <family val="2"/>
      </rPr>
      <t xml:space="preserve">) to send commands from the .NET Workbench to SAP ECC. The SAP side processes are implemented with a custom function module </t>
    </r>
    <r>
      <rPr>
        <sz val="10"/>
        <color theme="1"/>
        <rFont val="Arial Unicode MS"/>
      </rPr>
      <t>Z_DATALAKE_THEFT_AUTOCREATE</t>
    </r>
    <r>
      <rPr>
        <sz val="11"/>
        <color theme="1"/>
        <rFont val="Segoe UI"/>
        <family val="2"/>
      </rPr>
      <t xml:space="preserve"> and related classes to handle creating theft cases, “no theft” records, and follow-up work orders. The interface replaced manual use of the legacy SAP Theft/Fraud Dashboard (transaction </t>
    </r>
    <r>
      <rPr>
        <sz val="10"/>
        <color theme="1"/>
        <rFont val="Arial Unicode MS"/>
      </rPr>
      <t>ZFRAUDTHEFT_DSHBRD</t>
    </r>
    <r>
      <rPr>
        <sz val="11"/>
        <color theme="1"/>
        <rFont val="Segoe UI"/>
        <family val="2"/>
      </rPr>
      <t>) by automatically opening cases in SAP. It is mediated by SAP PO using SOAP (applied as an API call from the .NET app’s perspective). Additionally, some batch components still exist (like an Excel bulk upload for historical case catch-up), but the primary path is now the real-time PO interface.</t>
    </r>
  </si>
  <si>
    <t>DPO Remittance Scanning – SAP Payment Posting</t>
  </si>
  <si>
    <t>Processes scanned bill stubs from the mailroom (Document Processing Office) and posts payments to customer accounts in SAP FI-CA (Financials). The DPO’s scanning system captures payment coupon data (e.g., account numbers, bill amounts) from paper bill stubs and generates a batch file or IDoc which is sent to SAP. SAP’s FI-CA module receives these payment details and automatically applies payments to the correct customer accounts and invoices. This eliminates manual data entry for mailed-in payments.</t>
  </si>
  <si>
    <r>
      <t xml:space="preserve">Likely implemented via SAP’s standard lockbox or payment IDoc processing, given that it involves scanning physical payment stubs. No explicit CE internal document was found naming this interface. However, contextually it aligns with a lockbox-like file integration: scanned remittance data is exported (possibly as an EDI 820 or custom flat file) to SAP where inbound processing posts the payments. The integration type is assumed file-based. </t>
    </r>
    <r>
      <rPr>
        <i/>
        <sz val="11"/>
        <color theme="1"/>
        <rFont val="Segoe UI"/>
        <family val="2"/>
      </rPr>
      <t>“DPO”</t>
    </r>
    <r>
      <rPr>
        <sz val="11"/>
        <color theme="1"/>
        <rFont val="Segoe UI"/>
        <family val="2"/>
      </rPr>
      <t xml:space="preserve"> refers to the internal mailroom scanning operation. (No specific CE SharePoint link available; inference based on standard utility remittance processing.)</t>
    </r>
  </si>
  <si>
    <t>DPO On-Demand Receipt Print – SAP Cash Desk</t>
  </si>
  <si>
    <t>Enables printing of payment receipts for in-person or mail payments via DPO’s receipt printers, with transaction data sourced from SAP. When a payment is recorded in SAP (either through Cash Desk or automated means), the integration triggers the DPO’s receipt printer to print a customer receipt stub containing relevant details (amount paid, account, date/time, etc.). Conversely, for payments initiated at the DPO (e.g. walk-in center), the integration ensures those payments are captured in SAP’s financials. This provides customers with immediate printed confirmation of their payment, while keeping SAP’s accounts up-to-date.</t>
  </si>
  <si>
    <t>Exact interface documentation not located. Likely a custom add-on in SAP Cash Desk or a local print service interfacing with SAP via a small middleware. Possibly uses SAP PI or a Windows service that listens for payment events from SAP and formats a print job to the DPO’s slip printer. Marked as “Not found” due to lack of explicit CE documentation. The behavior is deduced from the DPO scanner integration context: typically these systems are part of an integrated payment processing solution. No evidence of separate interface naming; likely part of the same DPO processing system.</t>
  </si>
  <si>
    <t>Sales Tax Data Extract (SAP FI ➔ Legacy CCS)</t>
  </si>
  <si>
    <t>Regular export of sales tax accounting details from SAP’s Finance (FI) module to the legacy Customer/1 system “CCS.” This interface generates a report or data file of sales tax amounts calculated in SAP FI (e.g. aggregated tax collected from utility billing) and sends it to the older CCS environment, likely for regulatory or archival purposes. It ensures the legacy CCS system – which may still handle certain tax reporting or billing functions – has up-to-date sales tax information computed in SAP.</t>
  </si>
  <si>
    <t>Referred to as “FI_INT_??? (Sales Tax Extract)” in some historical project documents. No direct CE reference was found, but similar interfaces (e.g., Paymentnet, fuel tax extracts) exist. This integration is categorized as a periodic batch extract — probably a custom ABAP that writes tax data to a flat file for CCS. Marked as “Not found” because a specific CE source confirming the exact name and mechanism was not identified. Based on context, presumed to be a file-based extract on a schedule (monthly/periodic) and not an online/real-time interface. Legacy “CCS” likely refers to an earlier Customer Care System requiring tax data input from SAP.</t>
  </si>
  <si>
    <t>Business Center Warehouse (BCW) Integration</t>
  </si>
  <si>
    <t>BCW Inventory Sync – SAP MM Interface</t>
  </si>
  <si>
    <t>Exchanges inventory and material movement data between the Business Center Warehouse system and SAP Materials Management (MM). Likely transmits stock level updates, goods issues/receipts, and warehouse transactions from the BCW application to SAP for enterprise-wide inventory visibility and financial tracking, and possibly sends material master or purchase order info from SAP to the BCW for reference. Ensures the standalone Business Center Warehouse application stays aligned with SAP’s inventory records.</t>
  </si>
  <si>
    <r>
      <t xml:space="preserve">No specific CE documentation was found for “BCW Integration.” Inferred to involve inventory data flows. Possibly implemented via periodic flat-file transfers or IDocs (e.g., using SAP IDoc types like </t>
    </r>
    <r>
      <rPr>
        <sz val="10"/>
        <color theme="1"/>
        <rFont val="Arial Unicode MS"/>
      </rPr>
      <t>MBGMCR</t>
    </r>
    <r>
      <rPr>
        <sz val="11"/>
        <color theme="1"/>
        <rFont val="Segoe UI"/>
        <family val="2"/>
      </rPr>
      <t xml:space="preserve"> for goods movements). Without explicit evidence, one can’t assert the exact method. Marked “Not found” due to lack of direct references. Notably, the Business Center Warehouse might be a minor or legacy app interfacing via scheduled batch jobs. (Extensive internal search did not yield a concrete reference to a BCW–SAP interface in allowed sources, so only a generalized description is given.)</t>
    </r>
  </si>
  <si>
    <t>OWCE – SAP Meter Data Interface</t>
  </si>
  <si>
    <t>Transfers meter data and events between SAP and the Operational Technology systems: specifically, the OpenWay Collection Engine (OWCE) for AMI smart meters, and the Demand Response Management System (DRMS). For example, meter connect/disconnect commands or readings might be sent from SAP to OWCE (or vice versa), and demand response signals or load data may be exchanged with DRMS. These integrations ensure SAP’s IS-U billing system remains in sync with meter state changes (on/off) and captures demand response adjustments for customers, bridging the IT (SAP) and OT domains.</t>
  </si>
  <si>
    <t>https://consumersenergy.sharepoint.com/sites/ICOE/Shared%20Documents/Integration%20%26%20Architecture/Integration%20Roadmaps/ESB.Architecture.Integration.Model.pdf</t>
  </si>
  <si>
    <t>OWCE (Itron’s OpenWay Collection Engine) and DRMS are Operational Tech systems that communicate with SAP via multiple PI/PO interfaces. For OWCE: typically SAP IS-U uses standard SOAP services or IDocs for meter connect/disconnect and periodic consumption reads (these appear as “Meter Read Requests” and “Meter Read Results” in integration diagrams). For DRMS: aside from the C&amp;I DR interfaces above, SAP also sends peak load forecasts and actual load (via PI Historian) to DRMS to help manage DR events. All these are handled by SAP PO/ESB. In diagrams, solid lines indicate web services and dashed lines indicate file transfers. The entry combines OT-related SAP integrations as none were individually named in the input list. “OT” stands for Operational Technology, and in this context covers interfaces with meter infrastructure (OWCE) and demand response systems (DRMS).</t>
  </si>
  <si>
    <t>Customer Self-Service Work Scheduling (CSSO) – SAP Project Lookup Service</t>
  </si>
  <si>
    <t>Allows the Customer Self-Service Online (CSSO) portal’s Project/Work Order administration module to fetch information from SAP’s Project System (PS) and/or Service Order management. When a customer or employee uses the CSSO Portal Admin to search for a project or view its status and schedule, the portal calls an SAP web service to retrieve project data (e.g. project milestones, scheduled dates, involved work orders) by Business Partner ID or project number. This provides real-time transparency of project status (such as new service installations or construction work) by exposing SAP’s data to the portal.</t>
  </si>
  <si>
    <t>https://consumersenergy.sharepoint.com/sites/PMOTeam/PJT22564/Shared%20Documents/Define/PJT22564%20CSSO%20Release%20Scope%20Statement%20-%20Release%201.docx, https://consumersenergy.sharepoint.com/sites/PMOTeam/PJT22564/Shared%20Documents/Define/PJT22564%20CSSO%20Release%20Scope%20Statement%20-%20Release%202.docx</t>
  </si>
  <si>
    <t>“CSSO” is the Customer Self-Service Online portal for project scheduling (targeted at builder/developer customers). Release 1 of CSSO added secure login and retrieval of project lists via BP Id. Release 2 introduced an SAP/ServiceSuite integration to fetch additional work order details. Integration is via SAP PI (likely SOAP or OData services on SAP PS/PM). The portal sends queries (e.g., projects by BP or service location) and displays data fetched from SAP (phases, status, contacts). Technical details on interface naming were not explicitly found; it functions as a real-time lookup API.</t>
  </si>
  <si>
    <t>EAM–GIS Synchronization Interface</t>
  </si>
  <si>
    <t>Feeds asset management data to and from SAP’s Enterprise Asset Management (EAM) module for display on the EAM Dashboard and geospatial systems. Likely extracts asset and work order status from SAP PM/EAM to populate a dashboard (possibly SharePoint or PowerBI) and pushes updates (like completed work) back into SAP. For example, updates on work progress or asset health from field systems or analytics could be sent to SAP, while SAP provides the dashboard with up-to-date asset inventories, maintenance plans, and work completion data.</t>
  </si>
  <si>
    <t>No specific documentation was located for an “EAM Dashboard” interface. Based on CE context, suspect it involves SAP PM/EAM and possibly GIS integration (as CE has ongoing efforts to integrate SAP and GIS for asset tracking). Integration might use SAP PI or SAP OpenUI5 OData services for dashboard queries. Lacking explicit sources, marked as “Not found.” The interface likely uses scheduled jobs or direct queries to feed the dashboard; the exact interface name and mechanism are not confirmed in provided content.</t>
  </si>
  <si>
    <t>Forestry Work Management – SAP Integration</t>
  </si>
  <si>
    <t>Connects the ForestryWISE system (used for vegetation management and tree trimming operations) with SAP’s Work Management. Likely sends work orders or notifications from SAP (for vegetation clearances around power lines) to ForestryWISE, and returns completed work details or updates (e.g. tree trimming job status, contractor costs) back to SAP. Ensures that field forestry activities managed in ForestryWISE are reflected in SAP’s enterprise asset and maintenance records (SAP PM), including any costs or follow-up actions.</t>
  </si>
  <si>
    <t>No internal CE evidence of any SAP interface for ForestryWISE was found. The integration is inferred to involve batch file exchanges or possibly IDocs. Typically, such systems exchange work orders and completion records via daily or intraday file transfers. Marked “Not found” due to lack of explicit documentation. The interface likely generates CSV/XML files listing scheduled vegetation management orders (trees to trim or remove) exported from SAP and later imports completion/status files. Without direct references, the description relies on common practice for similar integrations.</t>
  </si>
  <si>
    <t>Mobile Workforce Schedule – SAP Dispatch Interface</t>
  </si>
  <si>
    <t>Allows the iSchedule application (a scheduling tool) to integrate with SAP’s workforce management module (likely SAP PM/CS or SAP MRS). It presumably pulls scheduled job data (service orders, appointments) from SAP for field crews and pushes scheduling changes or field status updates back into SAP. For example, if a dispatcher reschedules a job in iSchedule, the interface updates the corresponding order’s dates in SAP; likewise, newly created SAP orders are sent to iSchedule so that dispatchers can assign and route them.</t>
  </si>
  <si>
    <t>No specific evidence located. The integration is likely via SAP’s scheduling/dispatch APIs (could use SAP PI as middleware). Since iSchedule is not a standard CE term, it might be an internal front-end for dispatchers. Marked as “Not found.” Given the nature, an API or RFC-based integration is plausible. Possibly uses SAP’s BAPI for work order scheduling or a custom web service (since dispatch needs near-real-time updates). Without direct docs, assumptions are made per standard field scheduling integrations.</t>
  </si>
  <si>
    <t>Mobile Phone Application (Apollo)</t>
  </si>
  <si>
    <t>CE Mobile App – SAP Customer Self-Service APIs</t>
  </si>
  <si>
    <t>Provides the Consumers Energy mobile app (for customers) with SAP-backed functionality similar to the web portal. The app uses secure APIs (largely exposed via SAP PI/PO) to perform actions like viewing bills, making payments, reporting outages, etc. Essentially, the mobile application calls SAP’s customer service interfaces (e.g., billing info, payment processing, outage ticketing via SAP CRM/IS-U integration) so that customers can manage their accounts on a mobile device, with all data ultimately originating from or updating SAP systems.</t>
  </si>
  <si>
    <t>https://consumersenergy.sharepoint.com/teams/Apollo2/Shared%20Documents/Integration/KT101%20-%20Apollo%20-%20Mobile%20App%20Interfaces.docx[1](https://consumersenergy.sharepoint.com/sites/ADSS/AppDevDocs/_layouts/15/Doc.aspx?sourcedoc=%7B4263C7B2-36C3-4BEC-A6B1-2AEB9136DCDA%7D&amp;file=KT101%20-%20Apollo%20-%20Mobile%20App%20Interfaces.docx&amp;action=default&amp;mobileredirect=true&amp;DefaultItemOpen=1)[1](https://consumersenergy.sharepoint.com/sites/ADSS/AppDevDocs/_layouts/15/Doc.aspx?sourcedoc=%7B4263C7B2-36C3-4BEC-A6B1-2AEB9136DCDA%7D&amp;file=KT101%20-%20Apollo%20-%20Mobile%20App%20Interfaces.docx&amp;action=default&amp;mobileredirect=true&amp;DefaultItemOpen=1)</t>
  </si>
  <si>
    <t>CE’s internal Apollo integration documentation confirms multiple SAP calls (via PI/ESB) in the mobile app architecture[1](https://consumersenergy.sharepoint.com/sites/ADSS/AppDevDocs/_layouts/15/Doc.aspx?sourcedoc=%7B4263C7B2-36C3-4BEC-A6B1-2AEB9136DCDA%7D&amp;file=KT101%20-%20Apollo%20-%20Mobile%20App%20Interfaces.docx&amp;action=default&amp;mobileredirect=true&amp;DefaultItemOpen=1)[1](https://consumersenergy.sharepoint.com/sites/ADSS/AppDevDocs/_layouts/15/Doc.aspx?sourcedoc=%7B4263C7B2-36C3-4BEC-A6B1-2AEB9136DCDA%7D&amp;file=KT101%20-%20Apollo%20-%20Mobile%20App%20Interfaces.docx&amp;action=default&amp;mobileredirect=true&amp;DefaultItemOpen=1). In practice, the mobile app reuses many of the same SAP web service endpoints that the Sitecore web portal uses (e.g., account list, bill history, payment submission) under an Azure API Management gateway. The integration leverages RESTful API wrappers to SAP SOAP services for mobile consumption. The interface is effectively a set of real-time APIs that mirror existing site functions for mobile, rather than a distinct new interface per se. (No separate “Apollo” interface name exists in SAP; the mobile app’s backend calls map to existing SAP service interfaces.)</t>
  </si>
  <si>
    <t>Customer Portal Admin – SAP CRM7 Integration</t>
  </si>
  <si>
    <t>Allows CE’s internal Customer Service team (or administrators) to assist with or troubleshoot customer portal issues by leveraging data from SAP CRM. Through the Customer Portal Admin tool (an internal web interface), CSRs can look up customer profiles, unlock portal accounts, or proxy certain actions. The interface queries SAP CRM/IS-U for customer and account details (via web services or RFC) so that the admin portal can display the same information the customer sees. It may also update SAP (for example, resetting a portal flag or email) if needed. Essentially, it’s an integration that bridges the admin console with back-end SAP customer data.</t>
  </si>
  <si>
    <t>https://consumersenergy.sharepoint.com/sites/ICOE/Shared%20Documents/Runbooks/CRM%20Runbook.docx</t>
  </si>
  <si>
    <t>Per the SAP CRM Runbook, the Customer Portal Admin is listed as one of the external tools accessible from CRM, indicating a dependency on SAP CRM data. The integration likely uses CRM’s web services or BAPIs to fetch portal user info linked to SAP Business Partners. The admin portal enables CSRs to resolve customer portal issues. This is not a separately named interface in design docs, but rather part of the CRM7 environment’s external integration points. Marked as API since it presumably uses synchronous calls to SAP CRM. “Not found” replaced by the CRM runbook reference showing its existence as an integrated tool.</t>
  </si>
  <si>
    <t>Extensive internal searches found no documented SAP integrations for this product</t>
  </si>
  <si>
    <t>Project/WBS Create and Update Interface (SAP to Bentley)</t>
  </si>
  <si>
    <t>Transfers project and WBS (Work Request) information from SAP (when a project is released and flagged) to Bentley’s design system (OpenUtilities) for creating or updating corresponding work requests in Bentley</t>
  </si>
  <si>
    <t>https://consumersenergy.sharepoint.com/sites/ITReferenceLibrary/Shared%20Documents/SAP%20and%20Bentley%20Interfaces%20Highlights.doc</t>
  </si>
  <si>
    <t>Executed via SAP PI/PO; runs every 5 minutes (handled by Bentley Job Scheduler)[1](https://consumersenergy.sharepoint.com/sites/ITPMO/Projects/GISBasedDesignApps/_layouts/15/Doc.aspx?sourcedoc=%7BA99C80AE-530D-45D8-A0B7-0FB704813054%7D&amp;file=SAP%20and%20Bentley%20Interfaces%20Highlights.doc&amp;action=default&amp;mobileredirect=true&amp;DefaultItemOpen=1)[1](https://consumersenergy.sharepoint.com/sites/ITPMO/Projects/GISBasedDesignApps/_layouts/15/Doc.aspx?sourcedoc=%7BA99C80AE-530D-45D8-A0B7-0FB704813054%7D&amp;file=SAP%20and%20Bentley%20Interfaces%20Highlights.doc&amp;action=default&amp;mobileredirect=true&amp;DefaultItemOpen=1)</t>
  </si>
  <si>
    <t>CU Creation and Update Interface (SAP to Bentley)</t>
  </si>
  <si>
    <t>One-way interface sending Compatible Unit (CU) master data from SAP (CUs in Released status) to Bentley’s design environment, ensuring the Bentley system has up-to-date CU IDs, descriptions, status, unit measures, materials, and quantities for design and cost estimation</t>
  </si>
  <si>
    <t>Initiated immediately upon saving a CU in SAP (Released status) to provide current CU catalogs to Bentley’s Unit Assistant[1](https://consumersenergy.sharepoint.com/sites/ITPMO/Projects/GISBasedDesignApps/_layouts/15/Doc.aspx?sourcedoc=%7BA99C80AE-530D-45D8-A0B7-0FB704813054%7D&amp;file=SAP%20and%20Bentley%20Interfaces%20Highlights.doc&amp;action=default&amp;mobileredirect=true&amp;DefaultItemOpen=1)</t>
  </si>
  <si>
    <t>Design Creation Interface (Bentley to SAP)</t>
  </si>
  <si>
    <t>One-way interface transmitting finalized design data from Bentley’s design tool to SAP; creates a new design record in SAP (e.g., SAP design document or related work order) once a Bentley design is submitted, and updates the corresponding WBS in SAP with a status (e.g., “RBEN”) to indicate a design has been received</t>
  </si>
  <si>
    <t>Triggered when a design is submitted in Bentley; every submission creates a new SAP design (no updates to existing designs via interface)[1](https://consumersenergy.sharepoint.com/sites/ITPMO/Projects/GISBasedDesignApps/_layouts/15/Doc.aspx?sourcedoc=%7BA99C80AE-530D-45D8-A0B7-0FB704813054%7D&amp;file=SAP%20and%20Bentley%20Interfaces%20Highlights.doc&amp;action=default&amp;mobileredirect=true&amp;DefaultItemOpen=1)[1](https://consumersenergy.sharepoint.com/sites/ITPMO/Projects/GISBasedDesignApps/_layouts/15/Doc.aspx?sourcedoc=%7BA99C80AE-530D-45D8-A0B7-0FB704813054%7D&amp;file=SAP%20and%20Bentley%20Interfaces%20Highlights.doc&amp;action=default&amp;mobileredirect=true&amp;DefaultItemOpen=1)</t>
  </si>
  <si>
    <t>WBS Update Interface (Bentley to SAP)</t>
  </si>
  <si>
    <t>One-way interface sending updates from Bentley to SAP for Work Breakdown Structure elements (WBS) associated with designs. It updates SAP with changes made in Bentley (e.g., WBS status updates) after design activities, ensuring SAP reflects the current state of design-related WBS elements</t>
  </si>
  <si>
    <t>Runs as a background process via SAP PI/PO every 5 minutes. Only WBS changes (no project-level changes) are sent back to SAP[1](https://consumersenergy.sharepoint.com/sites/ITPMO/Projects/GISBasedDesignApps/_layouts/15/Doc.aspx?sourcedoc=%7BA99C80AE-530D-45D8-A0B7-0FB704813054%7D&amp;file=SAP%20and%20Bentley%20Interfaces%20Highlights.doc&amp;action=default&amp;mobileredirect=true&amp;DefaultItemOpen=1)[1](https://consumersenergy.sharepoint.com/sites/ITPMO/Projects/GISBasedDesignApps/_layouts/15/Doc.aspx?sourcedoc=%7BA99C80AE-530D-45D8-A0B7-0FB704813054%7D&amp;file=SAP%20and%20Bentley%20Interfaces%20Highlights.doc&amp;action=default&amp;mobileredirect=true&amp;DefaultItemOpen=1)</t>
  </si>
  <si>
    <t>Material Create and Update Interface (SAP to Bentley)</t>
  </si>
  <si>
    <t>One-way interface from SAP to Bentley providing material master data (material details and pricing). It synchronizes material information (including updated descriptions and prices) from SAP so that Bentley’s design system has current material costs and details for estimating and design</t>
  </si>
  <si>
    <t>Executes as a daily batch (runs at 2:00 AM) to push any new or changed material records and price updates from SAP into Bentley’s system[1](https://consumersenergy.sharepoint.com/sites/ITPMO/Projects/GISBasedDesignApps/_layouts/15/Doc.aspx?sourcedoc=%7BA99C80AE-530D-45D8-A0B7-0FB704813054%7D&amp;file=SAP%20and%20Bentley%20Interfaces%20Highlights.doc&amp;action=default&amp;mobileredirect=true&amp;DefaultItemOpen=1)</t>
  </si>
  <si>
    <t>No direct integration with SAP is documented. (The OpenUtilities Map tool functions as a GIS/design editor and relies on integration services provided by Workflow Manager/Job Scheduler for SAP data)</t>
  </si>
  <si>
    <t>PowerView is a read-only network design viewer/markup tool; CE documentation shows no direct SAP interfaces for this product</t>
  </si>
  <si>
    <t>Work Request (Notification) Read Interface (SAP to Bentley)</t>
  </si>
  <si>
    <t>Allows Bentley’s Workflow Manager to retrieve SAP notification or work request data (e.g., SAP work orders or notifications marked for design) and create corresponding work requests within the Bentley system, facilitating integrated design workflows</t>
  </si>
  <si>
    <t>https://consumersenergy.sharepoint.com/sites/ITReferenceLibrary/Shared%20Documents/IFS_BOUD%20to%20SAP.docx</t>
  </si>
  <si>
    <t>API (SOAP Web Service via SAP PO)</t>
  </si>
  <si>
    <t>Implemented as an SAP PO web service call to Bentley’s system (CHXML WebService); transforms SAP work request data (XML) into OpenUtilities format and invokes the OU API to create/update the work request[2](https://consumersenergy.sharepoint.com/sites/ITPMO/Projects/GISBasedDesignApps/_layouts/15/Doc.aspx?sourcedoc=%7B5B42BAAF-759C-4930-8AF1-B669AB27886D%7D&amp;file=CE%20Release%201%20-%20Administrator%20Training%20-%20WebService.pptx&amp;action=edit&amp;mobileredirect=true&amp;DefaultItemOpen=1)[2](https://consumersenergy.sharepoint.com/sites/ITPMO/Projects/GISBasedDesignApps/_layouts/15/Doc.aspx?sourcedoc=%7B5B42BAAF-759C-4930-8AF1-B669AB27886D%7D&amp;file=CE%20Release%201%20-%20Administrator%20Training%20-%20WebService.pptx&amp;action=edit&amp;mobileredirect=true&amp;DefaultItemOpen=1)</t>
  </si>
  <si>
    <t>Bentley MicroStation</t>
  </si>
  <si>
    <t>MicroStation CAD software operates standalone; no Consumers Energy documentation indicates any integration with SAP for this product</t>
  </si>
  <si>
    <t>Electric Meter Provisioning</t>
  </si>
  <si>
    <t>Synchronize smart meter provisioning status and configuration changes from SAP into the Itron OpenWay head-end system (OWCE), ensuring OpenWay is updated with newly added, removed, or de-registered meters[1](https://consumersenergy.sharepoint.com/sites/ITReferenceLibrary/_layouts/15/Doc.aspx?sourcedoc=%7BB0F15E4C-370C-425B-B803-3A83B5EC81E8%7D&amp;file=PJT05280.ESB.Upgrade.FS.Electric.Meter.Provisioning.docx&amp;action=default&amp;mobileredirect=true&amp;DefaultItemOpen=1)[1](https://consumersenergy.sharepoint.com/sites/ITReferenceLibrary/_layouts/15/Doc.aspx?sourcedoc=%7BB0F15E4C-370C-425B-B803-3A83B5EC81E8%7D&amp;file=PJT05280.ESB.Upgrade.FS.Electric.Meter.Provisioning.docx&amp;action=default&amp;mobileredirect=true&amp;DefaultItemOpen=1)</t>
  </si>
  <si>
    <t>https://consumersenergy.sharepoint.com/sites/ITReferenceLibrary/Shared%20Documents/PJT05280.ESB.Upgrade.FS.Electric.Meter.Provisioning.docx</t>
  </si>
  <si>
    <t>API (SAP PO web service)</t>
  </si>
  <si>
    <t>Device Testing interface</t>
  </si>
  <si>
    <t>Allows SAP ECC to request a functional meter test from the OpenWay head-end and receive the test results, automating smart meter functional testing (SAP sends meter ID and test instructions, OWCE returns results)</t>
  </si>
  <si>
    <t>https://consumersenergy.sharepoint.com/sites/ITReferenceLibrary/Shared%20Documents/PJT05280.ESB.Upgrade.FS.Device.Testing.docx</t>
  </si>
  <si>
    <t>API (real-time request/reply)</t>
  </si>
  <si>
    <t>Device Retirement interface</t>
  </si>
  <si>
    <t>Keeps SAP and the OpenWay head-end in sync when a meter is removed from service. SAP triggers an automated meter retirement update to OWCE so both systems reflect the meter’s retired status[2](https://consumersenergy.sharepoint.com/sites/ITReferenceLibrary/_layouts/15/Doc.aspx?sourcedoc=%7BFDB86DAB-616C-40F3-A034-C555F2B3EBFD%7D&amp;file=PJT05280.ESB.Upgrade.FS.Device.Retirement.docx&amp;action=default&amp;mobileredirect=true&amp;DefaultItemOpen=1)</t>
  </si>
  <si>
    <t>https://consumersenergy.sharepoint.com/sites/ITReferenceLibrary/Shared%20Documents/PJT05280.ESB.Upgrade.FS.Device.Retirement.docx</t>
  </si>
  <si>
    <t>SAP PO (via SAP PI/PO)</t>
  </si>
  <si>
    <t>OpenWay Collection Engine</t>
  </si>
  <si>
    <t>Duplicate entry for OpenWay Collection Engine – see interfaces listed above</t>
  </si>
  <si>
    <t>Route File (SAP to FCS)</t>
  </si>
  <si>
    <t>Daily transfer of gas meter route assignments from SAP IS-U to the Itron Field Collection System. SAP generates an XML route file (via Redwood job) and drops it for FCS to import, enabling FCS to distribute meter read routes to mobile collectors</t>
  </si>
  <si>
    <t>https://consumersenergy.sharepoint.com/teams/ITPMO/Projects/PJT19383/Itron%20FCSMCS_Runbook.docx</t>
  </si>
  <si>
    <t>File (XML via file share/BizTalk)</t>
  </si>
  <si>
    <t>BizTalk moves the XML from SAP’s staging folder to FCS’s import directory</t>
  </si>
  <si>
    <t>Extensive internal search found no direct SAP integrations for FieldPro. FieldPro data flows via head-end/MDM (file transfers) but no documented direct SAP interface[3](https://consumersenergy.sharepoint.com/sites/ITReferenceLibrary/References/ESB.Architecture.Integration.Model.pdf?web=1)</t>
  </si>
  <si>
    <t>MV‑90</t>
  </si>
  <si>
    <t>MV-90 Interval Data Upload</t>
  </si>
  <si>
    <t>Transfers interval meter reading data from Itron MV-90 into SAP for billing and analysis. MV-90 exports interval usage files (e.g. 15-minute electric profiles) which are uploaded to SAP (or its MDUS) for validation and inclusion in billing calculations[4](https://consumersenergy.sharepoint.com/sites/ITPMO/Runbooks/_layouts/15/Doc.aspx?sourcedoc=%7BBC76627F-3B43-4A3F-86E4-5BF68736E088%7D&amp;file=Meter%20Data%20Management_SYSTEM%20OVERVIEW.doc&amp;action=default&amp;mobileredirect=true&amp;DefaultItemOpen=1)[5](https://consumersenergy.sharepoint.com/sites/ITPMO/Runbooks/_layouts/15/Doc.aspx?sourcedoc=%7B80D2194D-4DE6-43A8-BFBF-3B5A6CA517CD%7D&amp;file=SAP%20CCS%20BACK%20OFFICE2_SYSTEM%20OVERVIEW.doc&amp;action=default&amp;mobileredirect=true&amp;DefaultItemOpen=1)</t>
  </si>
  <si>
    <t>https://consumersenergy.sharepoint.com/sites/ITReferenceLibrary/Shared%20Documents/Meter%20Data%20Management_SYSTEM%20OVERVIEW.doc (see “MV-90 interval data” section)</t>
  </si>
  <si>
    <t>File (batch file upload)</t>
  </si>
  <si>
    <t>Inbound batch interface; SAP validates MV-90 file content (e.g., intervals/hour = 4) and logs discrepancies. MV-90 is responsible for correcting any rejected data[4](https://consumersenergy.sharepoint.com/sites/ITPMO/Runbooks/_layouts/15/Doc.aspx?sourcedoc=%7BBC76627F-3B43-4A3F-86E4-5BF68736E088%7D&amp;file=Meter%20Data%20Management_SYSTEM%20OVERVIEW.doc&amp;action=default&amp;mobileredirect=true&amp;DefaultItemOpen=1)[5](https://consumersenergy.sharepoint.com/sites/ITPMO/Runbooks/_layouts/15/Doc.aspx?sourcedoc=%7B80D2194D-4DE6-43A8-BFBF-3B5A6CA517CD%7D&amp;file=SAP%20CCS%20BACK%20OFFICE2_SYSTEM%20OVERVIEW.doc&amp;action=default&amp;mobileredirect=true&amp;DefaultItemOpen=1)</t>
  </si>
  <si>
    <t>HR_INT_460 ARCOS Payroll Interface</t>
  </si>
  <si>
    <t>Imports emergency call-out and overtime hours from ARCOS into SAP HR to update employee payroll records (e.g. adjusting “Equivalent Straight Time” hours for union employees). Ensures payroll reflects call-out work tracked in ARCOS[6](https://consumersenergy.sharepoint.com/sites/ITPMO/Projects/PJT25267/_layouts/15/Doc.aspx?sourcedoc=%7B41B3283B-4CC6-403A-AB7E-14A0C7DB81EF%7D&amp;file=HCM_41_ARCOS%20Interface%20ZHRI460.docx&amp;action=default&amp;mobileredirect=true&amp;DefaultItemOpen=1)[7](https://consumersenergy.sharepoint.com/sites/ITPMO/Projects/PJT06291/_layouts/15/Doc.aspx?sourcedoc=%7B86A9CF3F-C816-46BB-92AC-5D011026064A%7D&amp;file=PI%20Interfaces%20List%20-%20PROD%20-%2020140919.xlsx&amp;action=default&amp;mobileredirect=true&amp;DefaultItemOpen=1)</t>
  </si>
  <si>
    <t>https://consumersenergy.sharepoint.com/sites/ITReferenceLibrary/Shared%20Documents/PI_InterfaceInventory_with_Consolidated4.vsd (see entries for “MI_ARCOS_OUT/IN1”)</t>
  </si>
  <si>
    <t>SAP PO (SAP PI SOAP/JMS)</t>
  </si>
  <si>
    <t>ARCOS sends a payroll data file which SAP HR processes via PI. The interface (HR_INT_460) increases employees’ EST hours based on ARCOS call-out records[6](https://consumersenergy.sharepoint.com/sites/ITPMO/Projects/PJT25267/_layouts/15/Doc.aspx?sourcedoc=%7B41B3283B-4CC6-403A-AB7E-14A0C7DB81EF%7D&amp;file=HCM_41_ARCOS%20Interface%20ZHRI460.docx&amp;action=default&amp;mobileredirect=true&amp;DefaultItemOpen=1)[7](https://consumersenergy.sharepoint.com/sites/ITPMO/Projects/PJT06291/_layouts/15/Doc.aspx?sourcedoc=%7B86A9CF3F-C816-46BB-92AC-5D011026064A%7D&amp;file=PI%20Interfaces%20List%20-%20PROD%20-%2020140919.xlsx&amp;action=default&amp;mobileredirect=true&amp;DefaultItemOpen=1)</t>
  </si>
  <si>
    <t>In house &amp; ESRI</t>
  </si>
  <si>
    <t>“GCON Property Restoration” appears to be an internal process/tool (Gas Construction restoration tracking) with no documented SAP integrations. Searches of CE resources yielded no evidence of SAP interfaces for this product</t>
  </si>
  <si>
    <t>Material Create/Update Interface</t>
  </si>
  <si>
    <t>One-way interface from SAP to Bentley ProjectWise: sends material master data (including standard price and descriptions) to ProjectWise daily so engineering teams have up-to-date material cost and description information in the ProjectWise system[8](https://consumersenergy.sharepoint.com/sites/ITPMO/Projects/GISBasedDesignApps/_layouts/15/Doc.aspx?sourcedoc=%7BA99C80AE-530D-45D8-A0B7-0FB704813054%7D&amp;file=SAP%20and%20Bentley%20Interfaces%20Highlights.doc&amp;action=default&amp;mobileredirect=true&amp;DefaultItemOpen=1)</t>
  </si>
  <si>
    <t>https://consumersenergy.sharepoint.com/sites/ITPMO/Projects/PJT11284/IFS_BOUD%20to%20SAP.docx</t>
  </si>
  <si>
    <t>File (PI/PO)</t>
  </si>
  <si>
    <t>Runs at 2 AM daily. If a material’s standard price is nonzero, that price is sent; otherwise the moving average price is sent[8](https://consumersenergy.sharepoint.com/sites/ITPMO/Projects/GISBasedDesignApps/_layouts/15/Doc.aspx?sourcedoc=%7BA99C80AE-530D-45D8-A0B7-0FB704813054%7D&amp;file=SAP%20and%20Bentley%20Interfaces%20Highlights.doc&amp;action=default&amp;mobileredirect=true&amp;DefaultItemOpen=1)</t>
  </si>
  <si>
    <t>WBS Update Interface</t>
  </si>
  <si>
    <t>One-way interface from Bentley ProjectWise (Bentley OpenUtilities Designer, “BOUD”) to SAP: transmits Work-Breakdown-Structure (WBS) updates (e.g. design estimates, project structures) from ProjectWise into SAP so that SAP project and work order data stays aligned with design changes made in the engineering system[8](https://consumersenergy.sharepoint.com/sites/ITPMO/Projects/GISBasedDesignApps/_layouts/15/Doc.aspx?sourcedoc=%7BA99C80AE-530D-45D8-A0B7-0FB704813054%7D&amp;file=SAP%20and%20Bentley%20Interfaces%20Highlights.doc&amp;action=default&amp;mobileredirect=true&amp;DefaultItemOpen=1)</t>
  </si>
  <si>
    <t>SAP PO (PI)</t>
  </si>
  <si>
    <t>The interface runs every 5 minutes, sending WBS modifications. It filters out unchanged data to minimize processing. No project creation, only updates to existing WBS elements are passed to SAP[8](https://consumersenergy.sharepoint.com/sites/ITPMO/Projects/GISBasedDesignApps/_layouts/15/Doc.aspx?sourcedoc=%7BA99C80AE-530D-45D8-A0B7-0FB704813054%7D&amp;file=SAP%20and%20Bentley%20Interfaces%20Highlights.doc&amp;action=default&amp;mobileredirect=true&amp;DefaultItemOpen=1)</t>
  </si>
  <si>
    <t>EWN</t>
  </si>
  <si>
    <t>HR_INT_1005 – Employee Info Outbound</t>
  </si>
  <si>
    <t>Exports employee master data from SAP HR to Energy World Net (EWN) for operator qualification tracking. Provides EWN with current employee information (e.g. employee ID, status, organization) on a regular basis so that the EWN system can manage gas operator qualifications for active employees[9](https://consumersenergy.sharepoint.com/sites/ITPMO/Projects/PJT17566/Shared%20Documents/03%20Define%20Phase/GasOperatorQualifications%28EWN%29_A_F_ApplctnCmmnctnDgrm_PJT17566.pdf?web=1)</t>
  </si>
  <si>
    <t>https://consumersenergy.sharepoint.com/sites/ITPMO/Projects/PJT17566/Shared%20Documents/03%20Define%20Phase/GasOperatorQualifications(EWN)_A_F_ApplctnCmmnctnDgrm_PJT17566.pdf</t>
  </si>
  <si>
    <t>File (via BizTalk SFTP)</t>
  </si>
  <si>
    <t>Batch interface. An SAP ABAP program generates the “HR OQ Employee Info” file (HR_INT_1005) and places it on an AL11 staging directory. BizTalk then securely SFTP’s the file to EWN’s server[9](https://consumersenergy.sharepoint.com/sites/ITPMO/Projects/PJT17566/Shared%20Documents/03%20Define%20Phase/GasOperatorQualifications%28EWN%29_A_F_ApplctnCmmnctnDgrm_PJT17566.pdf?web=1)[10](https://consumersenergy.sharepoint.com/sites/ITPMO/Projects/PJT17566/_layouts/15/Doc.aspx?sourcedoc=%7B71B20F4C-29B9-4CED-997B-F15B8720ACCE%7D&amp;file=PJT17566-HR_INT_1005_BizTalkRequestForm.docx&amp;action=default&amp;mobileredirect=true&amp;DefaultItemOpen=1)</t>
  </si>
  <si>
    <t>HR_INT_1000 – OQ Qualifications Inbound</t>
  </si>
  <si>
    <t>Imports gas operator qualification results from EWN into SAP HR. EWN sends qualification completions or changes (e.g. training certifications, test results) to SAP, which updates employees’ qualification records in SAP’s HR operator qualification infotypes. Keeps SAP as the system of record for compliance data[9](https://consumersenergy.sharepoint.com/sites/ITPMO/Projects/PJT17566/Shared%20Documents/03%20Define%20Phase/GasOperatorQualifications%28EWN%29_A_F_ApplctnCmmnctnDgrm_PJT17566.pdf?web=1)</t>
  </si>
  <si>
    <t>Batch file from EWN (HR_INT_1000) is picked up by SAP Process Orchestration and processed by an ABAP inbound program to update HR records[9](https://consumersenergy.sharepoint.com/sites/ITPMO/Projects/PJT17566/Shared%20Documents/03%20Define%20Phase/GasOperatorQualifications%28EWN%29_A_F_ApplctnCmmnctnDgrm_PJT17566.pdf?web=1). A related interface (HR_INT_1010) sends SuccessFactors learning completions to EWN, completing the loop</t>
  </si>
  <si>
    <t>IEE (Itron)</t>
  </si>
  <si>
    <t>Smart Meter data Integration</t>
  </si>
  <si>
    <t>IEE–SAP MDUS Create/Change (IEE-003)</t>
  </si>
  <si>
    <t>Bidirectional MDUS (Meter Data Unification &amp; Synchronization) interface between SAP IS-U and Itron Enterprise Edition (IEE) MDM. Handles creation or updates of meter and service point data: SAP sends new meter installations or changes to IEE, and IEE confirms back to SAP. Ensures both SAP and the MDM have consistent meter configuration and status for advanced metering[11](https://consumersenergy.sharepoint.com/sites/ITReferenceLibrary/_layouts/15/Doc.aspx?sourcedoc=%7BD8A44A98-D372-4835-9BF9-A3D554A6C6D2%7D&amp;file=PJT05280.ESB.Upgrade.FS.IEE.003.MDUS.Create.Change.Confirmation.docx&amp;action=default&amp;mobileredirect=true&amp;DefaultItemOpen=1)[11](https://consumersenergy.sharepoint.com/sites/ITReferenceLibrary/_layouts/15/Doc.aspx?sourcedoc=%7BD8A44A98-D372-4835-9BF9-A3D554A6C6D2%7D&amp;file=PJT05280.ESB.Upgrade.FS.IEE.003.MDUS.Create.Change.Confirmation.docx&amp;action=default&amp;mobileredirect=true&amp;DefaultItemOpen=1)</t>
  </si>
  <si>
    <t>https://consumersenergy.sharepoint.com/sites/ITReferenceLibrary/Shared%20Documents/PJT05280.ESB.Upgrade.FS.IEE.003.MDUS.Create.Change.Confirmation.docx</t>
  </si>
  <si>
    <t>SAP PO (web services via PI)</t>
  </si>
  <si>
    <t>Uses SAP’s standard MDUS SOAP web services. SAP’s IS-U triggers send meter create/change requests to IEE; IEE responds with confirmation or error. This automates meter additions and updates between SAP and the central MDM[11](https://consumersenergy.sharepoint.com/sites/ITReferenceLibrary/_layouts/15/Doc.aspx?sourcedoc=%7BD8A44A98-D372-4835-9BF9-A3D554A6C6D2%7D&amp;file=PJT05280.ESB.Upgrade.FS.IEE.003.MDUS.Create.Change.Confirmation.docx&amp;action=default&amp;mobileredirect=true&amp;DefaultItemOpen=1)</t>
  </si>
  <si>
    <t>Device Testing Interface (SAP to OpenWay)</t>
  </si>
  <si>
    <t>Allows SAP to initiate automated functional tests on smart meters via the OpenWay head-end, sending a test request from SAP (ensuring meter is not active in the field) and receiving test results back into SAP for analysis (e.g., voltage readings, switch status, “last gasp” power-down events)[1](https://consumersenergy.sharepoint.com/sites/ITReferenceLibrary/_layouts/15/Doc.aspx?sourcedoc=%7B1E7FA30E-462D-406D-AE10-3DC2FE20DA13%7D&amp;file=PJT05280.ESB.Upgrade.FS.Device.Testing.docx&amp;action=default&amp;mobileredirect=true&amp;DefaultItemOpen=1)</t>
  </si>
  <si>
    <t>Triggered when a meter is put into a test mode in SAP; uses SAP Process Orchestration to call OpenWay’s API and returns meter test results to SAP’s QM module[1](https://consumersenergy.sharepoint.com/sites/ITReferenceLibrary/_layouts/15/Doc.aspx?sourcedoc=%7B1E7FA30E-462D-406D-AE10-3DC2FE20DA13%7D&amp;file=PJT05280.ESB.Upgrade.FS.Device.Testing.docx&amp;action=default&amp;mobileredirect=true&amp;DefaultItemOpen=1). Ensures new or repaired meters are verified before deployment. Sometimes referred to as the “Device Testing Request/Response” integration.</t>
  </si>
  <si>
    <t>Device Retirement Interface (SAP to OpenWay)</t>
  </si>
  <si>
    <t>Syncs meter retirement or removal data from SAP with the OpenWay head-end system when meters are removed from the field. Ensures that meter status and configuration (e.g., retired devices) are updated in the head-end[2](https://consumersenergy.sharepoint.com/sites/ITReferenceLibrary/_layouts/15/Doc.aspx?sourcedoc=%7BFDB86DAB-616C-40F3-A034-C555F2B3EBFD%7D&amp;file=PJT05280.ESB.Upgrade.FS.Device.Retirement.docx&amp;action=default&amp;mobileredirect=true&amp;DefaultItemOpen=1)</t>
  </si>
  <si>
    <t>Also known as the meter “Remove/Retire” integration. Automates what was previously a manual process, keeping SAP and the head-end consistent on meter status. Prevents data mismatches by automatically triggering on device decommission in SAP[2](https://consumersenergy.sharepoint.com/sites/ITReferenceLibrary/_layouts/15/Doc.aspx?sourcedoc=%7BFDB86DAB-616C-40F3-A034-C555F2B3EBFD%7D&amp;file=PJT05280.ESB.Upgrade.FS.Device.Retirement.docx&amp;action=default&amp;mobileredirect=true&amp;DefaultItemOpen=1)</t>
  </si>
  <si>
    <t>Meter Reading Order Download (SAP to FCS)</t>
  </si>
  <si>
    <t>Exports daily meter reading routes/orders from SAP’s IS-U to Itron Field Collection System (FCS) as files for field meter readers. Field crews use these route files in FCS to collect meter readings in the field[3](https://consumersenergy.sharepoint.com/sites/ITPMO/Projects/PJT21725/_layouts/15/Doc.aspx?sourcedoc=%7B829D90B8-C604-46BD-9FFE-96E7729B7439%7D&amp;file=21_Interface_SAP_DM_SAP%20to%20FCS_Meter%20read%20order%20Download.docx&amp;action=default&amp;mobileredirect=true&amp;DefaultItemOpen=1)</t>
  </si>
  <si>
    <t>https://consumersenergy.sharepoint.com/sites/ITReferenceLibrary/Shared%20Documents/Itron%20FCS%20Integration%20Details.xlsx</t>
  </si>
  <si>
    <t>Implemented via secure file transfer: SAP generates meter reading orders (EL09/EL16 transactions) and places an XML/flat file in a secure FTP location, which FCS imports daily[3](https://consumersenergy.sharepoint.com/sites/ITPMO/Projects/PJT21725/_layouts/15/Doc.aspx?sourcedoc=%7B829D90B8-C604-46BD-9FFE-96E7729B7439%7D&amp;file=21_Interface_SAP_DM_SAP%20to%20FCS_Meter%20read%20order%20Download.docx&amp;action=default&amp;mobileredirect=true&amp;DefaultItemOpen=1). Ensures field personnel have up-to-date meter read schedules. Sometimes called the “Route Download” interface.</t>
  </si>
  <si>
    <t>Meter Reading Results Upload (FCS to SAP)</t>
  </si>
  <si>
    <t>Transfers collected meter read results from the Itron Field Collection System back to SAP for billing. After field meter readings are completed in FCS, a results file is sent to SAP and processed to update customer consumption data in SAP IS-U</t>
  </si>
  <si>
    <t>Utilizes secure file exchange via the SecureTransport/BizTalk pipeline. FCS produces a daily meter reads file which is placed on an FTP server (SecureTransport), then picked up by SAP or PO for automatic billing upload[4](https://consumersenergy.sharepoint.com/sites/ITPMO/Projects/PJT23780/_layouts/15/Doc.aspx?sourcedoc=%7B57395B1E-24CC-439E-A768-FFA5A54DB262%7D&amp;file=Itron%20FCS%20integration.xlsx&amp;action=default&amp;mobileredirect=true&amp;DefaultItemOpen=1). Complements the route download interface; together they close the meter reading loop. (“Import/Route files FCS to SecureTransport” in internal docs.)</t>
  </si>
  <si>
    <t>FieldPro is a mobile field tool (part of the OpenWay suite) used for meter configuration and reads, but CE’s documentation shows no direct or indirect integration between OpenWay FieldPro and any SAP system. Searches of approved internal sources did not yield evidence of SAP interfaces involving FieldPro</t>
  </si>
  <si>
    <t>MV-90</t>
  </si>
  <si>
    <t>MV-90 (a legacy meter data collection system) is not documented as having any integration with SAP in CE’s internal repositories. (Meter data from MV-90 is likely handled via other systems or processes, but no explicit SAP interface is recorded in the allowed sources.)</t>
  </si>
  <si>
    <t>ARCOS Payroll Hours Interface (ZHRPYO_ARCOS_PAYROLL)</t>
  </si>
  <si>
    <t>Updates SAP HR with overtime and call-out hours logged in the ARCOS system. The interface transfers extra shift hour data from ARCOS into SAP’s HR module, incrementing employees’ year-to-date overtime hours for payroll calculations[5](https://consumersenergy.sharepoint.com/sites/ITPMO/Projects/PJT25267/_layouts/15/Doc.aspx?sourcedoc=%7B41B3283B-4CC6-403A-AB7E-14A0C7DB81EF%7D&amp;file=HCM_41_ARCOS%20Interface%20ZHRI460.docx&amp;action=default&amp;mobileredirect=true&amp;DefaultItemOpen=1)</t>
  </si>
  <si>
    <t>https://consumersenergy.sharepoint.com/sites/ITReferenceLibrary/Shared%20Documents/ARCOS%20SAP%20Payroll%20Integration.docx</t>
  </si>
  <si>
    <t>Implemented as a custom ABAP program (ZHRPYO_ARCOS_PAYROLL) that reads ARCOS output (hours CSV/text file) and updates an SAP table (ZTHR_YTD) with employees’ overtime hours[5](https://consumersenergy.sharepoint.com/sites/ITPMO/Projects/PJT25267/_layouts/15/Doc.aspx?sourcedoc=%7B41B3283B-4CC6-403A-AB7E-14A0C7DB81EF%7D&amp;file=HCM_41_ARCOS%20Interface%20ZHRI460.docx&amp;action=default&amp;mobileredirect=true&amp;DefaultItemOpen=1). Ensures payroll in SAP reflects call-out hours recorded in ARCOS. Referred to internally as interface “460 – ARCOS EST Hours” (for emergency standby time) in testing documents</t>
  </si>
  <si>
    <t>Despite extensive internal searches, there is no indication of any SAP integrations for the GCON Property Restoration application. It appears to function as a standalone or GIS-centric solution without direct data exchange with SAP systems</t>
  </si>
  <si>
    <t>Project Data Interface (SAP to ProjectWise)</t>
  </si>
  <si>
    <t>Nightly extract of SAP project structure and WBS master data into Bentley ProjectWise’s engineering content management system. Transfers project definitions (e.g., project IDs, descriptions, dates, profiles) from SAP ECC to a SQL database table that ProjectWise can access, enabling engineers to link and manage design content by SAP project/WBS context[6](https://consumersenergy.sharepoint.com/sites/ITReferenceLibrary/_layouts/15/Doc.aspx?sourcedoc=%7B9E6FF836-100E-43A4-AAC1-084A98487595%7D&amp;file=IFS_ECM_ProjectWise_PJT14673.docx&amp;action=default&amp;mobileredirect=true&amp;DefaultItemOpen=1)[6](https://consumersenergy.sharepoint.com/sites/ITReferenceLibrary/_layouts/15/Doc.aspx?sourcedoc=%7B9E6FF836-100E-43A4-AAC1-084A98487595%7D&amp;file=IFS_ECM_ProjectWise_PJT14673.docx&amp;action=default&amp;mobileredirect=true&amp;DefaultItemOpen=1)</t>
  </si>
  <si>
    <t>https://consumersenergy.sharepoint.com/sites/ITReferenceLibrary/Shared%20Documents/IFS_ECM_ProjectWise_PJT14673.docx</t>
  </si>
  <si>
    <t>Implemented via SAP BusinessObjects Data Services (ETL tool): SAP ECC (Project System module) is the source, and ProjectWise’s SQL server is the target[6](https://consumersenergy.sharepoint.com/sites/ITReferenceLibrary/_layouts/15/Doc.aspx?sourcedoc=%7B9E6FF836-100E-43A4-AAC1-084A98487595%7D&amp;file=IFS_ECM_ProjectWise_PJT14673.docx&amp;action=default&amp;mobileredirect=true&amp;DefaultItemOpen=1)[6](https://consumersenergy.sharepoint.com/sites/ITReferenceLibrary/_layouts/15/Doc.aspx?sourcedoc=%7B9E6FF836-100E-43A4-AAC1-084A98487595%7D&amp;file=IFS_ECM_ProjectWise_PJT14673.docx&amp;action=default&amp;mobileredirect=true&amp;DefaultItemOpen=1). This is a batch interface (runs at 2 AM daily) rather than real-time. Known internally as “ProjectWise_Extract” or the SAP–ECM Project Data extract. Ensures ProjectWise has up-to-date SAP project/WBS info. No direct SAP PO or API; data is moved through an ETL/DB process</t>
  </si>
  <si>
    <t>HR OQ Employee Info Outbound (SAP to EWN)</t>
  </si>
  <si>
    <t>Sends employee records and relevant data from SAP HR to the Energy World Net (EWN) system to manage gas operator qualifications. Provides EWN with current employee information (e.g. employee IDs, names, status, job data) required for tracking operator qualifications and compliance[7](https://consumersenergy.sharepoint.com/sites/ITPMO/Projects/PJT17566/Shared%20Documents/03%20Define%20Phase/GasOperatorQualifications%28EWN%29_A_F_ApplctnCmmnctnDgrm_PJT17566.pdf?web=1)</t>
  </si>
  <si>
    <t>https://consumersenergy.sharepoint.com/sites/ITReferenceLibrary/Shared%20Documents/GasOQ_EWN_Integration_Diagram.pdf</t>
  </si>
  <si>
    <t>Labeled as interface HR_INT_1005 in internal design documents[7](https://consumersenergy.sharepoint.com/sites/ITPMO/Projects/PJT17566/Shared%20Documents/03%20Define%20Phase/GasOperatorQualifications%28EWN%29_A_F_ApplctnCmmnctnDgrm_PJT17566.pdf?web=1). Implemented via BizTalk using secure FTP: SAP generates a nightly outbound file (“HR_INFO_INT_1005_GasOQ….txt”) containing employee info, which BizTalk transmits to EWN’s SFTP server[8](https://consumersenergy.sharepoint.com/sites/ITPMO/Projects/PJT17566/_layouts/15/Doc.aspx?sourcedoc=%7B71B20F4C-29B9-4CED-997B-F15B8720ACCE%7D&amp;file=PJT17566-HR_INT_1005_BizTalkRequestForm.docx&amp;action=default&amp;mobileredirect=true&amp;DefaultItemOpen=1). Complements the inbound qualifications interface to keep both systems in sync</t>
  </si>
  <si>
    <t>HR OQ Qualification Results Inbound (EWN to SAP)</t>
  </si>
  <si>
    <t>Imports gas operator qualification results from the EWN platform into SAP HR. When an employee earns or updates a qualification in EWN, this interface delivers the qualification status/data back to SAP, updating the employee’s record in the HR module[7](https://consumersenergy.sharepoint.com/sites/ITPMO/Projects/PJT17566/Shared%20Documents/03%20Define%20Phase/GasOperatorQualifications%28EWN%29_A_F_ApplctnCmmnctnDgrm_PJT17566.pdf?web=1)</t>
  </si>
  <si>
    <t>Identified as interface HR_INT_1000 in internal documentation[7](https://consumersenergy.sharepoint.com/sites/ITPMO/Projects/PJT17566/Shared%20Documents/03%20Define%20Phase/GasOperatorQualifications%28EWN%29_A_F_ApplctnCmmnctnDgrm_PJT17566.pdf?web=1). EWN pushes qualification completion data via SFTP to CE (file name “IN_HR_INFO_INT_1000_GasOQQual_*.txt”), which BizTalk picks up and places into SAP’s inbound directory[9](https://consumersenergy.sharepoint.com/sites/ITPMO/Projects/PJT17566/_layouts/15/Doc.aspx?sourcedoc=%7B784854CA-140C-425A-9662-4393E09EDF01%7D&amp;file=PJT17566-HR_INT_1000_BizTalkRequestForm.docx&amp;action=default&amp;mobileredirect=true&amp;DefaultItemOpen=1). A custom SAP program then loads the data, ensuring SAP’s operator qualification records reflect the latest certifications from EWN</t>
  </si>
  <si>
    <t>Training Completion Interface (SuccessFactors/EWN)</t>
  </si>
  <si>
    <t>Transfers training/course completion records for gas operators from SuccessFactors (learning management) to EWN via SAP middleware. When an operator completes required courses in CE’s HR/SF system, this interface sends the completion data to EWN, so EWN can update the operator’s compliance status</t>
  </si>
  <si>
    <t>Called interface HR_INT_1010 in design specs[7](https://consumersenergy.sharepoint.com/sites/ITPMO/Projects/PJT17566/Shared%20Documents/03%20Define%20Phase/GasOperatorQualifications%28EWN%29_A_F_ApplctnCmmnctnDgrm_PJT17566.pdf?web=1). It uses BizTalk to retrieve a daily course-completion file (CSV) from SAP SuccessFactors and forward it to EWN’s SFTP site[10](https://consumersenergy.sharepoint.com/sites/ITPMO/Projects/PJT17566/_layouts/15/Doc.aspx?sourcedoc=%7B3851273A-5ED1-4121-8392-28B704B3C17D%7D&amp;file=PJT17566-HR_INT_1010_BizTalkRequestForm.docx&amp;action=default&amp;mobileredirect=true&amp;DefaultItemOpen=1)[10](https://consumersenergy.sharepoint.com/sites/ITPMO/Projects/PJT17566/_layouts/15/Doc.aspx?sourcedoc=%7B3851273A-5ED1-4121-8392-28B704B3C17D%7D&amp;file=PJT17566-HR_INT_1010_BizTalkRequestForm.docx&amp;action=default&amp;mobileredirect=true&amp;DefaultItemOpen=1). This keeps EWN’s qualification records in sync with internal training completions. Not a direct SAP–EWN exchange (involves SuccessFactors), but documented as part of the overall EWN integration project</t>
  </si>
  <si>
    <t>Meter Usage Readings Interface (IEE MDM to SAP IS-U)</t>
  </si>
  <si>
    <t>Automated transmission of smart meter consumption data from the Itron IEE meter data management system to SAP for billing. Consolidates interval and register read values collected from smart meters, sending daily usage totals and interval data to SAP’s IS-U billing module for each metered account[11](https://consumersenergy.sharepoint.com/sites/ITPMO/Projects/PJT16639/_layouts/15/Doc.aspx?sourcedoc=%7B10E18DBB-CE0E-4B50-B71B-C36CFEF9EE2F%7D&amp;file=IWP%20Interfaces%20Scope_V4_18Feb19.xlsx&amp;action=default&amp;mobileredirect=true&amp;DefaultItemOpen=1)</t>
  </si>
  <si>
    <t>https://consumersenergy.sharepoint.com/sites/ITReferenceLibrary/Shared%20Documents/ESB.Architecture.Integration.Model.pdf, https://consumersenergy.sharepoint.com/sites/ITReferenceLibrary/Shared%20Documents/IWP%20Interfaces%20Scope_V4_18Feb19.xlsx</t>
  </si>
  <si>
    <t>IEE (MDM) serves as the central repository of meter reads and events[12](https://consumersenergy.sharepoint.com/sites/ITPMO/Runbooks/_layouts/15/Doc.aspx?sourcedoc=%7BE63D4A13-1009-4FEA-B0B3-1A2FB535638A%7D&amp;file=eSOMS%20-%20Electronic%20Shift%20Operations%20Management_Runbook.docx&amp;action=default&amp;mobileredirect=true&amp;DefaultItemOpen=1). Under the MDUS model, SAP requests and receives meter readings via web services (SOAP through SAP PI/PO) from IEE daily[13](https://consumersenergy.sharepoint.com/sites/ITPMO/Projects/PJT21221/_layouts/15/Doc.aspx?sourcedoc=%7B14709F38-6948-4561-8D5D-3F9D3A427F30%7D&amp;file=Stakeholders%20and%20Interfaces.docx&amp;action=default&amp;mobileredirect=true&amp;DefaultItemOpen=1). Ensures timely import of electric and gas consumption for billing. Part of a suite of SAP–IEE integrations established during AMI/Smart Energy projects (often referred to by interface IDs like QM_INT_030 for meter reads, etc.). Other related IEE-SAP integrations (e.g., remote connect/disconnect commands, meter events) exist via the ESB/PI but are not explicitly documented in the provided sources</t>
  </si>
  <si>
    <t>No further SAP related interfaces found</t>
  </si>
  <si>
    <t>Aside from meter reading and consumption data exchanges, no additional distinct SAP interfaces for Itron IEE (MDM) were explicitly identified in CE documentation. (Other integration points likely occur via the ESB and OpenWay head-end for activities such as remote connect/disconnect and meter event processing, but they are considered part of the overall AMI/MDM integration and not separately documented)</t>
  </si>
  <si>
    <t>Vendor(SCM)</t>
  </si>
  <si>
    <t>Product/Application</t>
  </si>
  <si>
    <t>Documentation Links</t>
  </si>
  <si>
    <t>Connected Contractors List API</t>
  </si>
  <si>
    <t>Retrieves the list of all contractors connected in ISNetworld for synchronization with SAP vendor records</t>
  </si>
  <si>
    <t>https://consumersenergy.sharepoint.com/sites/ITReferenceLibrarySharePoint Internal Document[1](https://consumersenergy.sharepoint.com/sites/ITPMO/Projects/PJT25267/_layouts/15/Doc.aspx?sourcedoc=%7B14C286A8-C807-4D26-839A-DE83B451EFAE%7D&amp;file=X6Q%20communication%20channel%20endpoints%201.xlsx&amp;action=default&amp;mobileredirect=true&amp;DefaultItemOpen=1)</t>
  </si>
  <si>
    <t>API (SAP PO)</t>
  </si>
  <si>
    <r>
      <t xml:space="preserve">Uses SAP Process Orchestration to call the ISNetworld REST endpoint </t>
    </r>
    <r>
      <rPr>
        <sz val="10"/>
        <color theme="1"/>
        <rFont val="Arial Unicode MS"/>
      </rPr>
      <t>/VendorConnections/ConnectedContractors</t>
    </r>
    <r>
      <rPr>
        <sz val="11"/>
        <color theme="1"/>
        <rFont val="Segoe UI"/>
        <family val="2"/>
      </rPr>
      <t>[1](https://consumersenergy.sharepoint.com/sites/ITPMO/Projects/PJT25267/_layouts/15/Doc.aspx?sourcedoc=%7B14C286A8-C807-4D26-839A-DE83B451EFAE%7D&amp;file=X6Q%20communication%20channel%20endpoints%201.xlsx&amp;action=default&amp;mobileredirect=true&amp;DefaultItemOpen=1)[1](https://consumersenergy.sharepoint.com/sites/ITPMO/Projects/PJT25267/_layouts/15/Doc.aspx?sourcedoc=%7B14C286A8-C807-4D26-839A-DE83B451EFAE%7D&amp;file=X6Q%20communication%20channel%20endpoints%201.xlsx&amp;action=default&amp;mobileredirect=true&amp;DefaultItemOpen=1); requires ISN API authentication (token management handled via separate token retrieval/validation calls)</t>
    </r>
  </si>
  <si>
    <t>Custom Field API</t>
  </si>
  <si>
    <t>Fetches custom field values (e.g. safety ratings, compliance data) for a given contractor from ISNetworld into SAP</t>
  </si>
  <si>
    <r>
      <t xml:space="preserve">Calls ISN REST endpoint </t>
    </r>
    <r>
      <rPr>
        <sz val="10"/>
        <color theme="1"/>
        <rFont val="Arial Unicode MS"/>
      </rPr>
      <t>/PCL/CustomField/{ContractorId}</t>
    </r>
    <r>
      <rPr>
        <sz val="11"/>
        <color theme="1"/>
        <rFont val="Segoe UI"/>
        <family val="2"/>
      </rPr>
      <t xml:space="preserve"> to obtain contractor-specific custom data, which is then updated in SAP[1](https://consumersenergy.sharepoint.com/sites/ITPMO/Projects/PJT25267/_layouts/15/Doc.aspx?sourcedoc=%7B14C286A8-C807-4D26-839A-DE83B451EFAE%7D&amp;file=X6Q%20communication%20channel%20endpoints%201.xlsx&amp;action=default&amp;mobileredirect=true&amp;DefaultItemOpen=1)[1](https://consumersenergy.sharepoint.com/sites/ITPMO/Projects/PJT25267/_layouts/15/Doc.aspx?sourcedoc=%7B14C286A8-C807-4D26-839A-DE83B451EFAE%7D&amp;file=X6Q%20communication%20channel%20endpoints%201.xlsx&amp;action=default&amp;mobileredirect=true&amp;DefaultItemOpen=1)</t>
    </r>
  </si>
  <si>
    <t>Scorecard API</t>
  </si>
  <si>
    <t>Imports ISNetworld Safety Scorecard information for contractors into SAP for vendor performance tracking</t>
  </si>
  <si>
    <r>
      <t xml:space="preserve">Retrieves contractor safety scorecards via ISN REST endpoint </t>
    </r>
    <r>
      <rPr>
        <sz val="10"/>
        <color theme="1"/>
        <rFont val="Arial Unicode MS"/>
      </rPr>
      <t>/CompanyProfile/Scorecard/{ContractorId}</t>
    </r>
    <r>
      <rPr>
        <sz val="11"/>
        <color theme="1"/>
        <rFont val="Segoe UI"/>
        <family val="2"/>
      </rPr>
      <t>[1](https://consumersenergy.sharepoint.com/sites/ITPMO/Projects/PJT25267/_layouts/15/Doc.aspx?sourcedoc=%7B14C286A8-C807-4D26-839A-DE83B451EFAE%7D&amp;file=X6Q%20communication%20channel%20endpoints%201.xlsx&amp;action=default&amp;mobileredirect=true&amp;DefaultItemOpen=1)[1](https://consumersenergy.sharepoint.com/sites/ITPMO/Projects/PJT25267/_layouts/15/Doc.aspx?sourcedoc=%7B14C286A8-C807-4D26-839A-DE83B451EFAE%7D&amp;file=X6Q%20communication%20channel%20endpoints%201.xlsx&amp;action=default&amp;mobileredirect=true&amp;DefaultItemOpen=1); ensures SAP vendor master has latest safety ratings</t>
    </r>
  </si>
  <si>
    <t>ServiceNow (ITSM Portal)</t>
  </si>
  <si>
    <t>Purchase Requisition Creation</t>
  </si>
  <si>
    <t>Allows ServiceNow to automatically create SAP purchase requisitions from approved ServiceNow supply chain cases</t>
  </si>
  <si>
    <t>https://cmsenergy.service-now.comServiceNow Knowledge Base[2](https://consumersenergy.sharepoint.com/sites/ITPMO/Projects/PJT25267/_layouts/15/Doc.aspx?sourcedoc=%7B4BBE1591-1E94-4487-9214-5CC690CD23C7%7D&amp;file=ZCL_SI_PURCHASE_REQ_IN%20-%20Service%20Now%20to%20SAP%20PRPO%20interface%20-%20material%20purchase%20via%20SNOW_FUT_E2D160_HANA%20DB%20R2%202025.docx&amp;action=default&amp;mobileredirect=true&amp;DefaultItemOpen=1)[2](https://consumersenergy.sharepoint.com/sites/ITPMO/Projects/PJT25267/_layouts/15/Doc.aspx?sourcedoc=%7B4BBE1591-1E94-4487-9214-5CC690CD23C7%7D&amp;file=ZCL_SI_PURCHASE_REQ_IN%20-%20Service%20Now%20to%20SAP%20PRPO%20interface%20-%20material%20purchase%20via%20SNOW_FUT_E2D160_HANA%20DB%20R2%202025.docx&amp;action=default&amp;mobileredirect=true&amp;DefaultItemOpen=1)</t>
  </si>
  <si>
    <t>API (REST via SAP PO)</t>
  </si>
  <si>
    <t>When a ServiceNow request is approved, ServiceNow invokes a REST API (via SAP PO) to SAP which creates a purchase requisition in SAP ECC. SAP returns the new PR number to ServiceNow for tracking[2](https://consumersenergy.sharepoint.com/sites/ITPMO/Projects/PJT25267/_layouts/15/Doc.aspx?sourcedoc=%7B4BBE1591-1E94-4487-9214-5CC690CD23C7%7D&amp;file=ZCL_SI_PURCHASE_REQ_IN%20-%20Service%20Now%20to%20SAP%20PRPO%20interface%20-%20material%20purchase%20via%20SNOW_FUT_E2D160_HANA%20DB%20R2%202025.docx&amp;action=default&amp;mobileredirect=true&amp;DefaultItemOpen=1)</t>
  </si>
  <si>
    <t>Purchase Order Update</t>
  </si>
  <si>
    <t>Updates ServiceNow cases with the SAP PO number once a purchase order is created for a requisition initiated from ServiceNow</t>
  </si>
  <si>
    <t>https://cmsenergy.service-now.comServiceNow Knowledge Base[3](https://consumersenergy.sharepoint.com/sites/ITPMO/Projects/PJT18703/Shared%20Documents/04%20Execute%20Phase/PJT18703%20-%20SAP%20ServiceNow%20bi-directional%20integration%20Outstanding%20Items%20notes.pdf?web=1)[1](https://consumersenergy.sharepoint.com/sites/ITPMO/Projects/PJT25267/_layouts/15/Doc.aspx?sourcedoc=%7B14C286A8-C807-4D26-839A-DE83B451EFAE%7D&amp;file=X6Q%20communication%20channel%20endpoints%201.xlsx&amp;action=default&amp;mobileredirect=true&amp;DefaultItemOpen=1)</t>
  </si>
  <si>
    <r>
      <t xml:space="preserve">SAP ECC, upon PO creation from a ServiceNow-initiated PR, sends a REST callback to ServiceNow’s API (e.g. </t>
    </r>
    <r>
      <rPr>
        <sz val="10"/>
        <color theme="1"/>
        <rFont val="Arial Unicode MS"/>
      </rPr>
      <t>/api/sn_customerservice/sap_to_sn_purchase_requisition</t>
    </r>
    <r>
      <rPr>
        <sz val="11"/>
        <color theme="1"/>
        <rFont val="Segoe UI"/>
        <family val="2"/>
      </rPr>
      <t>) with the PO number and case identifier, updating the ServiceNow case[3](https://consumersenergy.sharepoint.com/sites/ITPMO/Projects/PJT18703/Shared%20Documents/04%20Execute%20Phase/PJT18703%20-%20SAP%20ServiceNow%20bi-directional%20integration%20Outstanding%20Items%20notes.pdf?web=1). Ensures ServiceNow reflects the SAP PO for tracking</t>
    </r>
  </si>
  <si>
    <t>ACF PO Outbound Interface (SC_INT_090)</t>
  </si>
  <si>
    <t>Transmits purchase order details from SAP to ACF’s freight management system for organizing shipment of “collect-third-party” orders</t>
  </si>
  <si>
    <t>https://consumersenergy.sharepoint.com/sites/CESWSSharePoint Internal – CESWS[4](https://consumersenergy.sharepoint.com/sites/ITPMO/Projects/PJT25267/_layouts/15/Doc.aspx?sourcedoc=%7B3E4633C8-04F1-4D4C-8D3F-8A5AE47FA765%7D&amp;file=ZSCPOO_ACF_ZSCI090_Supply%20Chain%20SAP%20to%20ACF%20Interface.docx&amp;action=default&amp;mobileredirect=true&amp;DefaultItemOpen=1)[5](https://consumersenergy.sharepoint.com/sites/ITPMO/Projects/PJT25267/_layouts/15/Doc.aspx?sourcedoc=%7B77B3E2BC-7015-4F1D-93E3-A0505AC5B8EC%7D&amp;file=ZSCPOO_ACF_ZSCI090_Supply%20Chain%20SAP%20to%20ACF%20Interface_FUT_E2D160_HANA%20DB%20R2%202025.docx&amp;action=default&amp;mobileredirect=true&amp;DefaultItemOpen=1)</t>
  </si>
  <si>
    <t>File (SAP flat-file)</t>
  </si>
  <si>
    <r>
      <t xml:space="preserve">In SAP ECC, transaction </t>
    </r>
    <r>
      <rPr>
        <sz val="10"/>
        <color theme="1"/>
        <rFont val="Arial Unicode MS"/>
      </rPr>
      <t>ZSCI090</t>
    </r>
    <r>
      <rPr>
        <sz val="11"/>
        <color theme="1"/>
        <rFont val="Segoe UI"/>
        <family val="2"/>
      </rPr>
      <t xml:space="preserve"> generates a PDF data file (</t>
    </r>
    <r>
      <rPr>
        <sz val="10"/>
        <color theme="1"/>
        <rFont val="Arial Unicode MS"/>
      </rPr>
      <t>SC_INT_090</t>
    </r>
    <r>
      <rPr>
        <sz val="11"/>
        <color theme="1"/>
        <rFont val="Segoe UI"/>
        <family val="2"/>
      </rPr>
      <t xml:space="preserve">) containing PO line items designated for ACF logistics[4](https://consumersenergy.sharepoint.com/sites/ITPMO/Projects/PJT25267/_layouts/15/Doc.aspx?sourcedoc=%7B3E4633C8-04F1-4D4C-8D3F-8A5AE47FA765%7D&amp;file=ZSCPOO_ACF_ZSCI090_Supply%20Chain%20SAP%20to%20ACF%20Interface.docx&amp;action=default&amp;mobileredirect=true&amp;DefaultItemOpen=1). The file is placed on a secure shared location, where ACF’s system retrieves it for freight routing. The interface runs on demand or schedule and outputs a timestamped file to the SAP </t>
    </r>
    <r>
      <rPr>
        <i/>
        <sz val="11"/>
        <color theme="1"/>
        <rFont val="Segoe UI"/>
        <family val="2"/>
      </rPr>
      <t>staging_out/sc</t>
    </r>
    <r>
      <rPr>
        <sz val="11"/>
        <color theme="1"/>
        <rFont val="Segoe UI"/>
        <family val="2"/>
      </rPr>
      <t xml:space="preserve"> directory[5](https://consumersenergy.sharepoint.com/sites/ITPMO/Projects/PJT25267/_layouts/15/Doc.aspx?sourcedoc=%7B77B3E2BC-7015-4F1D-93E3-A0505AC5B8EC%7D&amp;file=ZSCPOO_ACF_ZSCI090_Supply%20Chain%20SAP%20to%20ACF%20Interface_FUT_E2D160_HANA%20DB%20R2%202025.docx&amp;action=default&amp;mobileredirect=true&amp;DefaultItemOpen=1)</t>
    </r>
  </si>
  <si>
    <t>No SAP-related interface</t>
  </si>
  <si>
    <t>No documented integration between SAP and PowerAdvocate was found in Consumers Energy’s internal sources. Extensive searches in CE’s SharePoint repositories and IT knowledge base yielded no references to SAP interfaces for PowerAdvocate, indicating that no direct SAP integration exists[6](https://consumersenergy.sharepoint.com/sites/ITPMO/Projects/PJT21469/_layouts/15/Doc.aspx?sourcedoc=%7B35929C5B-CA2D-4086-AF63-54BE049819E4%7D&amp;file=RFP%20Document.docx&amp;action=default&amp;mobileredirect=true&amp;DefaultItemOpen=1)[7](https://consumersenergy.sharepoint.com/sites/ITPMO/Projects/PJT21482/_layouts/15/Doc.aspx?sourcedoc=%7BB30D2A93-1C9A-4967-B24E-20D17B0B894F%7D&amp;file=FCE%20RFP%20Answers%20to%20Questions.xlsx&amp;action=default&amp;mobileredirect=true&amp;DefaultItemOpen=1)</t>
  </si>
  <si>
    <t>Purchase Order (EDI 850) – Outbound</t>
  </si>
  <si>
    <t>Sends purchase orders from SAP to 3M via EDI for material procurement</t>
  </si>
  <si>
    <t>https://consumersenergy.sharepoint.com/sites/homeSharePoint Internal – EDI Integration Doc[8](https://consumersenergy.sharepoint.com/sites/ITPMO/Projects/PJT17541/Shared%20Documents/03%20-%20Define%20Phase/Solution%20Design%20Document/BizTalk%20High%20Level%20Process%20Flow%20-%20May%202019.pdf?web=1)</t>
  </si>
  <si>
    <t>File (EDI X12 via BizTalk)</t>
  </si>
  <si>
    <t>SAP ECC outputs purchase orders as EDI 850 IDocs (in XML format) to the BizTalk EDI subsystem. BizTalk converts the IDoc to X12 850 format and transmits it to 3M’s EDI network (via VAN or SFTP) for order fulfillment</t>
  </si>
  <si>
    <t>Order Acknowledgment (EDI 855) – Inbound</t>
  </si>
  <si>
    <t>Receives order confirmation from 3M back into SAP</t>
  </si>
  <si>
    <t>3M sends an EDI 855 (PO Acknowledgment) via the EDI network. BizTalk receives the 855, converts it to an IDoc-XML, and posts it to SAP ECC, confirming order receipt or changes in the SAP purchase order</t>
  </si>
  <si>
    <t>Advance Ship Notice (EDI 856) – Inbound</t>
  </si>
  <si>
    <t>Notifies SAP of shipment details for orders sent to 3M</t>
  </si>
  <si>
    <t>3M provides shipping information via an EDI 856 ASN. BizTalk translates the EDI 856 into an inbound SAP delivery/shipment IDoc (XML format) which updates the corresponding purchase order delivery schedule in SAP ECC</t>
  </si>
  <si>
    <t>Vendor Invoice (EDI 810) – Inbound</t>
  </si>
  <si>
    <t>Receives electronic invoices from 3M into SAP for automated Accounts Payable processing</t>
  </si>
  <si>
    <t>3M sends invoices as EDI 810 documents. BizTalk’s EDI engine converts the incoming 810 into an SAP IDoc (e.g. INVOIC01) and posts it to SAP ECC Accounts Payable. This enables automatic invoice matching and processing in SAP</t>
  </si>
  <si>
    <t>Transmits SAP purchase orders to Alro Steel via EDI</t>
  </si>
  <si>
    <t>https://consumersenergy.sharepoint.com/sites/homeSharePoint Internal – EDI Integration Doc</t>
  </si>
  <si>
    <t>SAP generates 850 EDI IDocs for orders to Alro Steel, which BizTalk sends through the EDI network to the supplier</t>
  </si>
  <si>
    <t>Receives Alro’s confirmation of SAP purchase orders</t>
  </si>
  <si>
    <t>Alro Steel returns 855 EDI order acknowledgments. BizTalk translates and posts them as confirmation IDocs in SAP to update PO status</t>
  </si>
  <si>
    <t>Notifies SAP of shipment dispatch details from Alro</t>
  </si>
  <si>
    <t>Alro sends EDI 856 ASN for shipped goods. BizTalk converts this to an SAP delivery IDoc, updating shipment tracking in SAP</t>
  </si>
  <si>
    <t>Processes Alro’s invoices electronically into SAP</t>
  </si>
  <si>
    <t>Invoices from Alro Steel are received as EDI 810. BizTalk translates them into SAP invoice IDocs for automatic posting in Accounts Payable</t>
  </si>
  <si>
    <t>Sends SAP purchase orders to Border States via EDI</t>
  </si>
  <si>
    <t>SAP PO data is exported as 850 EDI messages to Border States’ EDI system for order fulfillment</t>
  </si>
  <si>
    <t>Receives PO confirmations from Border States into SAP</t>
  </si>
  <si>
    <t>Border States’ EDI 855 responses are ingested and mapped to SAP confirmation IDocs, updating the PO status in SAP</t>
  </si>
  <si>
    <t>Notifies SAP of shipments dispatched by Border States</t>
  </si>
  <si>
    <t>Border States sends 856 ASN EDI files. BizTalk converts these to SAP delivery/shipment IDocs, enabling SAP to record incoming deliveries</t>
  </si>
  <si>
    <t>Processes Border States’ invoices into SAP automatically</t>
  </si>
  <si>
    <t>EDI 810 invoices from Border States are received by BizTalk, translated to SAP’s INVOIC IDoc format and posted to Accounts Payable in SAP</t>
  </si>
  <si>
    <t>Sends purchase orders from SAP to Choctaw-Kaul via EDI network</t>
  </si>
  <si>
    <t>SAP outputs 850 EDI files for orders to Choctaw-Kaul, which are transmitted by BizTalk to the supplier’s system</t>
  </si>
  <si>
    <t>Receives order confirmation from Choctaw-Kaul back into SAP</t>
  </si>
  <si>
    <t>855 EDI responses from Choctaw-Kaul are converted to SAP confirmation documents, confirming acceptance or changes to the PO</t>
  </si>
  <si>
    <t>Notifies SAP of goods shipment details from Choctaw-Kaul</t>
  </si>
  <si>
    <t>Choctaw-Kaul’s EDI 856 messages are translated by BizTalk into SAP delivery IDocs, updating the SAP PO with shipment and tracking information</t>
  </si>
  <si>
    <t>Processes electronic invoices from Choctaw-Kaul into SAP</t>
  </si>
  <si>
    <t>Invoices sent by Choctaw-Kaul as EDI 810 files are received and converted to SAP invoice IDocs, enabling automated posting in SAP’s AP module</t>
  </si>
  <si>
    <t>Transmits SAP purchase orders to Cooper Power Systems via EDI</t>
  </si>
  <si>
    <t>CE’s SAP system generates 850 order IDocs for Cooper Power, which are sent through BizTalk’s EDI gateway to the vendor’s EDI system</t>
  </si>
  <si>
    <t>Receives confirmation of POs from Cooper Power into SAP</t>
  </si>
  <si>
    <t>Cooper Power’s EDI 855 acknowledgments are processed by BizTalk and posted to SAP, updating the purchase order status or noting any discrepancies</t>
  </si>
  <si>
    <t>Informs SAP of shipment dispatch from Cooper Power Systems</t>
  </si>
  <si>
    <t>Cooper Power sends 856 EDI shipment notices which BizTalk converts into SAP delivery IDocs, allowing SAP to track incoming shipment details</t>
  </si>
  <si>
    <t>Processes Cooper Power’s electronic invoices directly into SAP</t>
  </si>
  <si>
    <t>Invoices from Cooper Power (in EDI 810 format) are received by BizTalk, translated to SAP’s invoice IDoc format, and posted in SAP for payment processing</t>
  </si>
  <si>
    <t>Sends purchase orders from SAP to ERMCO using EDI</t>
  </si>
  <si>
    <t>SAP 850 order documents for ERMCO are generated and transmitted via the BizTalk EDI system to initiate material orders</t>
  </si>
  <si>
    <t>Receives ERMCO’s confirmation of SAP orders</t>
  </si>
  <si>
    <t>ERMCO’s 855 EDI responses are ingested by BizTalk, which creates SAP confirmation IDocs to record the acknowledged or modified order details in SAP</t>
  </si>
  <si>
    <t>Notifies SAP of shipment dispatch details from ERMCO</t>
  </si>
  <si>
    <t>ERMCO sends EDI 856 ASN messages which BizTalk converts to SAP delivery IDocs, updating the corresponding SAP PO with shipping and tracking info</t>
  </si>
  <si>
    <t>Processes ERMCO’s invoices in SAP electronically</t>
  </si>
  <si>
    <t>Electronic invoices (EDI 810) from ERMCO are received by the BizTalk EDI subsystem and mapped into SAP Accounts Payable via INVOIC IDocs for automatic payment processing</t>
  </si>
  <si>
    <t>Transmits SAP purchase orders to Fleet Charge via EDI</t>
  </si>
  <si>
    <t>SAP exports 850 EDI files for orders placed with Fleet Charge; BizTalk sends these files through the EDI network to initiate fulfillment by the vendor</t>
  </si>
  <si>
    <t>Receives Fleet Charge’s PO confirmations into SAP</t>
  </si>
  <si>
    <t>EDI 855 responses from Fleet Charge are processed by BizTalk and turned into SAP confirmation IDocs, indicating acceptance or adjustment of the original order</t>
  </si>
  <si>
    <t>Notifies SAP of shipments from Fleet Charge</t>
  </si>
  <si>
    <t>Fleet Charge sends 856 ASN documents. These are translated by BizTalk to SAP delivery IDocs, updating SAP with shipment dates, carrier details, and tracking numbers</t>
  </si>
  <si>
    <t>Processes Fleet Charge invoices directly into SAP</t>
  </si>
  <si>
    <t>Invoices from Fleet Charge in EDI 810 format are received via BizTalk, which converts them to SAP invoice IDocs (e.g. ACCAPAY01) for automatic posting and clearing in SAP’s Accounts Payable[9](https://consumersenergy.sharepoint.com/sites/ITPMO/Projects/PJT17541/_layouts/15/Doc.aspx?sourcedoc=%7B7B7805B0-0353-4F46-84BE-F5B8887EC0C6%7D&amp;file=PJT17541_BizTalk%20Upgrade%202019_Test_Plan.docx&amp;action=default&amp;mobileredirect=true&amp;DefaultItemOpen=1)</t>
  </si>
  <si>
    <t>Sends SAP purchase orders to Forberg Smith via EDI</t>
  </si>
  <si>
    <t>SAP generates 850 IDocs for orders to Forberg Smith. These are delivered through BizTalk’s EDI gateway to the supplier’s system, initiating the order in their order management</t>
  </si>
  <si>
    <t>Receives order confirmation from Forberg Smith back into SAP</t>
  </si>
  <si>
    <t>Forberg Smith returns 855 EDI acknowledgments for each PO. BizTalk translates these into SAP confirmation documents, allowing SAP buyers to see the accepted quantities, delivery dates, or any changes to the order</t>
  </si>
  <si>
    <t>Notifies SAP about shipments dispatched by Forberg Smith</t>
  </si>
  <si>
    <t>Forberg Smith’s EDI 856 shipment notices are received via BizTalk and converted to inbound delivery IDocs in SAP. This updates the PO’s delivery schedule and facilitates goods receipt processing in SAP</t>
  </si>
  <si>
    <t>Processes Forberg Smith’s invoices into SAP automatically</t>
  </si>
  <si>
    <t>EDI 810 invoices from Forberg Smith are ingested by BizTalk and mapped to SAP’s invoice IDoc format (with all line item details), enabling straight-through processing in SAP Accounts Payable</t>
  </si>
  <si>
    <t>Sends SAP purchase orders to Graybar via EDI transmission</t>
  </si>
  <si>
    <t>SAP produces 850 EDI IDocs for orders placed with Graybar. These are delivered through BizTalk’s EDI subsystem to Graybar’s EDI endpoint, initiating the order on the supplier side</t>
  </si>
  <si>
    <t>Receives Graybar’s confirmation of SAP orders</t>
  </si>
  <si>
    <t>Graybar’s EDI 855 PO acknowledgments are processed by BizTalk, which converts them to SAP confirmation IDocs. SAP purchasing staff can then see that Graybar has accepted the order (or view any changes they indicated)</t>
  </si>
  <si>
    <t>Notifies SAP of shipments from Graybar for pending orders</t>
  </si>
  <si>
    <t>Graybar sends 856 ASN EDI files containing shipment details (quantities shipped, carrier, tracking). BizTalk translates these to inbound delivery IDocs in SAP, facilitating timely goods receipt and inventory updates</t>
  </si>
  <si>
    <t>Processes Graybar’s invoices into SAP Accounts Payable electronically</t>
  </si>
  <si>
    <t>After deliveries, Graybar sends EDI 810 invoice documents. BizTalk converts these into SAP invoice IDocs (with reference to the original PO and goods receipt), enabling automated three-way match and payment processing in SAP</t>
  </si>
  <si>
    <t>Transmits SAP POs to Groebner (vendor code 20004145) via EDI</t>
  </si>
  <si>
    <t>For vendor ID 20004145 (Groebner &amp; Associates), SAP outputs 850 EDI order files through BizTalk to initiate purchase orders for materials</t>
  </si>
  <si>
    <t>Receives Groebner’s acknowledgment of orders into SAP</t>
  </si>
  <si>
    <t>Groebner returns 855 acknowledgments via EDI. BizTalk processes these and creates SAP confirmation IDocs, reflecting the vendor’s commitment and any order changes</t>
  </si>
  <si>
    <t>Notifies SAP of shipments from Groebner (vendor 20004145)</t>
  </si>
  <si>
    <t>BizTalk receives 856 ASN files from Groebner (ID 20004145) and converts them into SAP delivery IDocs, so SAP’s inventory and receiving can be prepared for incoming goods</t>
  </si>
  <si>
    <t>Processes Groebner’s invoices (vendor 20004145) in SAP</t>
  </si>
  <si>
    <t>EDI 810 invoices from Groebner (ID 20004145) are sent through BizTalk’s EDI translator and posted as SAP invoice IDocs, automating the accounts payable workflow for these transactions</t>
  </si>
  <si>
    <t>Sends SAP POs to Groebner (vendor code 20009428) via EDI</t>
  </si>
  <si>
    <t>For Groebner’s second vendor ID 20009428, SAP likewise transmits purchase orders as 850 EDI messages via BizTalk’s EDI system to initiate procurement</t>
  </si>
  <si>
    <t>Receives Groebner’s (ID 20009428) confirmations of SAP orders</t>
  </si>
  <si>
    <t>855 EDI acknowledgments from Groebner (vendor 20009428) are processed by BizTalk and converted to SAP confirmation IDocs, updating the associated purchase orders in SAP</t>
  </si>
  <si>
    <t>Notifies SAP of shipments from Groebner (vendor 20009428)</t>
  </si>
  <si>
    <t>Groebner’s ASN 856 EDI files (for vendor code 20009428) are received via BizTalk and translated into SAP delivery IDocs. SAP uses these to anticipate and record the arrival of materials</t>
  </si>
  <si>
    <t>Processes Groebner’s (ID 20009428) invoices electronically in SAP</t>
  </si>
  <si>
    <t>Invoices from Groebner (vendor 20009428) are sent as EDI 810 and converted by the EDI interface into SAP’s invoice IDoc, enabling automatic invoice matching against POs and receipts in SAP</t>
  </si>
  <si>
    <t>Sends SAP purchase orders to Hubbell via EDI</t>
  </si>
  <si>
    <t>SAP generates 850 EDI files for orders to Hubbell Power Systems, which are transmitted through BizTalk’s EDI gateway to the vendor’s EDI system</t>
  </si>
  <si>
    <t>Receives Hubbell’s confirmation of SAP purchase orders</t>
  </si>
  <si>
    <t>Hubbell’s EDI 855 acknowledgments are received by BizTalk and converted into SAP PO confirmation documents, indicating the supplier’s acceptance and any changes to the order</t>
  </si>
  <si>
    <t>Notifies SAP of shipments from Hubbell Power Systems</t>
  </si>
  <si>
    <t>Hubbell sends 856 ASN EDI messages with shipping details. BizTalk translates these into SAP delivery IDocs, updating the purchase order’s delivery schedule in SAP for incoming goods</t>
  </si>
  <si>
    <t>Processes Hubbell’s invoices into SAP AP via EDI</t>
  </si>
  <si>
    <t>After shipment, Hubbell’s EDI 810 invoices are received and converted by BizTalk into SAP invoice IDocs. This automation posts the invoices in SAP for payment processing, tied to the original PO and delivery</t>
  </si>
  <si>
    <t>Sends SAP purchase orders to Motion Industries (vendor 20000674) via EDI</t>
  </si>
  <si>
    <t>SAP 850 IDocs for orders to Motion Industries (ID 20000674) are dispatched through BizTalk’s EDI system, initiating the material order with the vendor</t>
  </si>
  <si>
    <t>Receives Motion’s confirmation of orders (vendor 20000674) into SAP</t>
  </si>
  <si>
    <t>Motion Industries’ EDI 855 acknowledgments (for vendor code 20000674) are processed by BizTalk to create SAP confirmation IDocs, updating the SAP PO with the vendor’s acceptance and any schedule changes</t>
  </si>
  <si>
    <t>Notifies SAP of shipments from Motion Industries (vendor 20000674)</t>
  </si>
  <si>
    <t>Motion Industries provides 856 ASN EDI files for vendor ID 20000674. These are translated to SAP delivery IDocs via BizTalk, allowing SAP to record in-transit inventory and anticipated delivery dates</t>
  </si>
  <si>
    <t>Processes Motion’s invoices (vendor 20000674) in SAP via EDI</t>
  </si>
  <si>
    <t>Motion Industries’ invoices (for vendor code 20000674) are received as EDI 810 documents and converted by BizTalk into SAP invoice IDocs, enabling seamless posting to SAP’s AP module</t>
  </si>
  <si>
    <t>Sends SAP POs to Motion Industries (vendor 20000676) via EDI</t>
  </si>
  <si>
    <t>For Motion Industries’ second vendor ID 20000676, SAP likewise issues 850 EDI order files through BizTalk to initiate the purchase with the supplier’s system</t>
  </si>
  <si>
    <t>Receives Motion’s confirmation of orders (vendor 20000676) into SAP</t>
  </si>
  <si>
    <t>Motion Industries (vendor ID 20000676) sends 855 EDI acknowledgments; BizTalk converts them to SAP confirmation IDocs, keeping SAP PO statuses updated with vendor feedback</t>
  </si>
  <si>
    <t>Notifies SAP of shipments from Motion Industries (vendor 20000676)</t>
  </si>
  <si>
    <t>BizTalk handles EDI 856 ASNs from Motion Industries (ID 20000676), converting them into SAP inbound delivery IDocs. This ensures SAP inventory management is aware of goods in transit from this vendor</t>
  </si>
  <si>
    <t>Processes Motion’s invoices (vendor 20000676) via EDI into SAP</t>
  </si>
  <si>
    <t>Invoices from Motion Industries (ID 20000676) are sent as EDI 810 and processed by BizTalk into SAP invoice IDocs. The result is automated invoice posting and matching against the relevant PO and delivery in SAP</t>
  </si>
  <si>
    <t>Sends SAP POs to Power Line Supply via EDI</t>
  </si>
  <si>
    <t>SAP issues 850 EDI order documents for Power Line Supply, which BizTalk transmits to the vendor’s EDI network, initiating the order fulfillment process</t>
  </si>
  <si>
    <t>Receives Power Line Supply’s acknowledgment of SAP orders</t>
  </si>
  <si>
    <t>Power Line Supply returns 855 EDI acknowledgments to CE. BizTalk converts these into SAP confirmation IDocs, allowing SAP procurement to see which orders are confirmed and if any changes were communicated</t>
  </si>
  <si>
    <t>Notifies SAP of shipments from Power Line Supply for open orders</t>
  </si>
  <si>
    <t>Power Line Supply’s EDI 856 advance ship notices are processed by BizTalk into SAP delivery IDocs. This updates the PO delivery schedules and facilitates timely receiving of materials in SAP</t>
  </si>
  <si>
    <t>Processes Power Line Supply’s invoices via EDI into SAP</t>
  </si>
  <si>
    <t>Invoices from Power Line Supply (EDI 810) are received and translated by BizTalk into SAP invoice IDocs, automatically creating vendor invoice entries in SAP for payment processing[9](https://consumersenergy.sharepoint.com/sites/ITPMO/Projects/PJT17541/_layouts/15/Doc.aspx?sourcedoc=%7B7B7805B0-0353-4F46-84BE-F5B8887EC0C6%7D&amp;file=PJT17541_BizTalk%20Upgrade%202019_Test_Plan.docx&amp;action=default&amp;mobileredirect=true&amp;DefaultItemOpen=1)</t>
  </si>
  <si>
    <t>Vendor(P&amp;C)</t>
  </si>
  <si>
    <t>Employee Master Data Outbound (HR_INT_1030E)</t>
  </si>
  <si>
    <t>Extracts the full list of active employees from SAP HCM and provides it to the Sodales Labor Relations application daily[1](https://consumersenergy.sharepoint.com/sites/ITPMO/Projects/PJT21204/_layouts/15/Doc.aspx?sourcedoc=%7BDF1D9AE4-F7D2-48F0-BD64-8B106AFBAC9D%7D&amp;file=Sodales-Environments.xlsx&amp;action=default&amp;mobileredirect=true&amp;DefaultItemOpen=1)[1](https://consumersenergy.sharepoint.com/sites/ITPMO/Projects/PJT21204/_layouts/15/Doc.aspx?sourcedoc=%7BDF1D9AE4-F7D2-48F0-BD64-8B106AFBAC9D%7D&amp;file=Sodales-Environments.xlsx&amp;action=default&amp;mobileredirect=true&amp;DefaultItemOpen=1). Ensures Sodales has up-to-date personnel records (employee IDs, union affiliations, job data) needed for seniority calculations.</t>
  </si>
  <si>
    <t>https://consumersenergy.sharepoint.com/sites/ITReferenceLibrary/SAP_ERP_HR_Sodales_Interfaces.xlsx</t>
  </si>
  <si>
    <r>
      <t>A scheduled SAP ABAP program (</t>
    </r>
    <r>
      <rPr>
        <sz val="10"/>
        <color theme="1"/>
        <rFont val="Arial Unicode MS"/>
      </rPr>
      <t>ZHR_INT_1030E_SODALES_EMPLOUT</t>
    </r>
    <r>
      <rPr>
        <sz val="11"/>
        <color theme="1"/>
        <rFont val="Segoe UI"/>
        <family val="2"/>
      </rPr>
      <t>) produces a daily full employee data CSV file[1](https://consumersenergy.sharepoint.com/sites/ITPMO/Projects/PJT21204/_layouts/15/Doc.aspx?sourcedoc=%7BDF1D9AE4-F7D2-48F0-BD64-8B106AFBAC9D%7D&amp;file=Sodales-Environments.xlsx&amp;action=default&amp;mobileredirect=true&amp;DefaultItemOpen=1). BizTalk moves the file to Sodales’s SFTP server with PGP encryption at 1:00 AM each day[1](https://consumersenergy.sharepoint.com/sites/ITPMO/Projects/PJT21204/_layouts/15/Doc.aspx?sourcedoc=%7BDF1D9AE4-F7D2-48F0-BD64-8B106AFBAC9D%7D&amp;file=Sodales-Environments.xlsx&amp;action=default&amp;mobileredirect=true&amp;DefaultItemOpen=1). Used by all Sodales modules (Seniority, Grievance, Job Bidding) as a foundational data feed.</t>
    </r>
  </si>
  <si>
    <t>Seniority List Delta Outbound (HR_INT_1030S)</t>
  </si>
  <si>
    <t>Sends daily changes in union employee statuses from SAP HCM to Sodales for seniority list updates[1](https://consumersenergy.sharepoint.com/sites/ITPMO/Projects/PJT21204/_layouts/15/Doc.aspx?sourcedoc=%7BDF1D9AE4-F7D2-48F0-BD64-8B106AFBAC9D%7D&amp;file=Sodales-Environments.xlsx&amp;action=default&amp;mobileredirect=true&amp;DefaultItemOpen=1). Provides Sodales with a delta file of employees whose seniority-related data (e.g., position changes, terminations) changed since the previous day, so Sodales can update seniority lists accordingly[2](https://consumersenergy.sharepoint.com/sites/ITPMO/Projects/PJT25267/_layouts/15/Doc.aspx?sourcedoc=%7B456CE7CC-030E-40CF-89C3-C46FA58DC5FF%7D&amp;file=SodalesToSAP_HCMWithoutPayroll_TestCases_ADOFormat.xlsx&amp;action=default&amp;mobileredirect=true&amp;DefaultItemOpen=1).</t>
  </si>
  <si>
    <t>https://consumersenergy.sharepoint.com/sites/ITReferenceLibrary/Sodales-Environments.xlsx</t>
  </si>
  <si>
    <r>
      <t>An SAP batch program (</t>
    </r>
    <r>
      <rPr>
        <sz val="10"/>
        <color theme="1"/>
        <rFont val="Arial Unicode MS"/>
      </rPr>
      <t>ZHR_INT_1030S_SODALES_SENLISTO</t>
    </r>
    <r>
      <rPr>
        <sz val="11"/>
        <color theme="1"/>
        <rFont val="Segoe UI"/>
        <family val="2"/>
      </rPr>
      <t>) creates a “SeniorityList” CSV delta file nightly[1](https://consumersenergy.sharepoint.com/sites/ITPMO/Projects/PJT21204/_layouts/15/Doc.aspx?sourcedoc=%7BDF1D9AE4-F7D2-48F0-BD64-8B106AFBAC9D%7D&amp;file=Sodales-Environments.xlsx&amp;action=default&amp;mobileredirect=true&amp;DefaultItemOpen=1). BizTalk picks up and transmits the file from SAP’s staging directory to the Sodales SFTP folder, encrypted via PGP[1](https://consumersenergy.sharepoint.com/sites/ITPMO/Projects/PJT21204/_layouts/15/Doc.aspx?sourcedoc=%7BDF1D9AE4-F7D2-48F0-BD64-8B106AFBAC9D%7D&amp;file=Sodales-Environments.xlsx&amp;action=default&amp;mobileredirect=true&amp;DefaultItemOpen=1). This ensures Sodales’s Seniority module is aware of new hires, exits, and other changes affecting seniority each day.</t>
    </r>
  </si>
  <si>
    <t>Seniority Calculations Inbound (HR_INT_1035S)</t>
  </si>
  <si>
    <t>Receives computed seniority and preferential seniority dates from Sodales and updates SAP HCM records (Infotype 41)[3](https://consumersenergy.sharepoint.com/sites/ITPMO/Projects/PJT21204/_layouts/15/Doc.aspx?sourcedoc=%7BBE2E805A-816D-4380-836E-B87A81BDFD33%7D&amp;file=SAP%20ERP%20HR%20Sodales%20HR_INT_1035S%20Seniority%20List%20Calculations%20Solution%20Design.docx&amp;action=default&amp;mobileredirect=true&amp;DefaultItemOpen=1)[3](https://consumersenergy.sharepoint.com/sites/ITPMO/Projects/PJT21204/_layouts/15/Doc.aspx?sourcedoc=%7BBE2E805A-816D-4380-836E-B87A81BDFD33%7D&amp;file=SAP%20ERP%20HR%20Sodales%20HR_INT_1035S%20Seniority%20List%20Calculations%20Solution%20Design.docx&amp;action=default&amp;mobileredirect=true&amp;DefaultItemOpen=1). Automates the posting of updated seniority dates for union employees back into SAP so that SAP is kept in sync after Sodales applies complex union rules for seniority[3](https://consumersenergy.sharepoint.com/sites/ITPMO/Projects/PJT21204/_layouts/15/Doc.aspx?sourcedoc=%7BBE2E805A-816D-4380-836E-B87A81BDFD33%7D&amp;file=SAP%20ERP%20HR%20Sodales%20HR_INT_1035S%20Seniority%20List%20Calculations%20Solution%20Design.docx&amp;action=default&amp;mobileredirect=true&amp;DefaultItemOpen=1)[3](https://consumersenergy.sharepoint.com/sites/ITPMO/Projects/PJT21204/_layouts/15/Doc.aspx?sourcedoc=%7BBE2E805A-816D-4380-836E-B87A81BDFD33%7D&amp;file=SAP%20ERP%20HR%20Sodales%20HR_INT_1035S%20Seniority%20List%20Calculations%20Solution%20Design.docx&amp;action=default&amp;mobileredirect=true&amp;DefaultItemOpen=1).</t>
  </si>
  <si>
    <t>https://consumersenergy.sharepoint.com/sites/ITReferenceLibrary/SAP%20ERP%20HR%20Sodales%20HR_INT_1035S%20Seniority%20List%20Calculations%20Solution%20Design.docx</t>
  </si>
  <si>
    <r>
      <t>Sodales generates a change file (</t>
    </r>
    <r>
      <rPr>
        <sz val="10"/>
        <color theme="1"/>
        <rFont val="Arial Unicode MS"/>
      </rPr>
      <t>in_HR_INFO_INT_1035S_SODALES_Calculated_Seniority.csv</t>
    </r>
    <r>
      <rPr>
        <sz val="11"/>
        <color theme="1"/>
        <rFont val="Segoe UI"/>
        <family val="2"/>
      </rPr>
      <t>) with new seniority dates[1](https://consumersenergy.sharepoint.com/sites/ITPMO/Projects/PJT21204/_layouts/15/Doc.aspx?sourcedoc=%7BDF1D9AE4-F7D2-48F0-BD64-8B106AFBAC9D%7D&amp;file=Sodales-Environments.xlsx&amp;action=default&amp;mobileredirect=true&amp;DefaultItemOpen=1). BizTalk or SAP PO receives and places this file in SAP’s inbound directory, triggering a PO interface[4](https://consumersenergy.sharepoint.com/sites/ITPMO/Projects/PJT21204/_layouts/15/Doc.aspx?sourcedoc=%7BFA49EDD7-3867-4D60-96DC-0BB509803201%7D&amp;file=SAP%20ERP%20HR%20Sodales%20HR_INT_1035G%20Grievance%20Inbound%20Solution%20Design.docx&amp;action=default&amp;mobileredirect=true&amp;DefaultItemOpen=1)[3](https://consumersenergy.sharepoint.com/sites/ITPMO/Projects/PJT21204/_layouts/15/Doc.aspx?sourcedoc=%7BBE2E805A-816D-4380-836E-B87A81BDFD33%7D&amp;file=SAP%20ERP%20HR%20Sodales%20HR_INT_1035S%20Seniority%20List%20Calculations%20Solution%20Design.docx&amp;action=default&amp;mobileredirect=true&amp;DefaultItemOpen=1). An ABAP program (</t>
    </r>
    <r>
      <rPr>
        <sz val="10"/>
        <color theme="1"/>
        <rFont val="Arial Unicode MS"/>
      </rPr>
      <t>ZHR_INT_1035S_SODALES_SENLISTI</t>
    </r>
    <r>
      <rPr>
        <sz val="11"/>
        <color theme="1"/>
        <rFont val="Segoe UI"/>
        <family val="2"/>
      </rPr>
      <t>) runs (via Redwood) to read the file and update Infotype 41 (date types Z4/Z5) for each listed employee[3](https://consumersenergy.sharepoint.com/sites/ITPMO/Projects/PJT21204/_layouts/15/Doc.aspx?sourcedoc=%7BBE2E805A-816D-4380-836E-B87A81BDFD33%7D&amp;file=SAP%20ERP%20HR%20Sodales%20HR_INT_1035S%20Seniority%20List%20Calculations%20Solution%20Design.docx&amp;action=default&amp;mobileredirect=true&amp;DefaultItemOpen=1)[3](https://consumersenergy.sharepoint.com/sites/ITPMO/Projects/PJT21204/_layouts/15/Doc.aspx?sourcedoc=%7BBE2E805A-816D-4380-836E-B87A81BDFD33%7D&amp;file=SAP%20ERP%20HR%20Sodales%20HR_INT_1035S%20Seniority%20List%20Calculations%20Solution%20Design.docx&amp;action=default&amp;mobileredirect=true&amp;DefaultItemOpen=1). Uses SAP Process Orchestration (PO) to manage the file pick-up and ensure secure transfer[4](https://consumersenergy.sharepoint.com/sites/ITPMO/Projects/PJT21204/_layouts/15/Doc.aspx?sourcedoc=%7BFA49EDD7-3867-4D60-96DC-0BB509803201%7D&amp;file=SAP%20ERP%20HR%20Sodales%20HR_INT_1035G%20Grievance%20Inbound%20Solution%20Design.docx&amp;action=default&amp;mobileredirect=true&amp;DefaultItemOpen=1).</t>
    </r>
  </si>
  <si>
    <t>Grievance Payment Inbound (HR_INT_1035G)</t>
  </si>
  <si>
    <t>Receives approved grievance settlement payment data from Sodales and posts it into SAP HCM payroll[4](https://consumersenergy.sharepoint.com/sites/ITPMO/Projects/PJT21204/_layouts/15/Doc.aspx?sourcedoc=%7BFA49EDD7-3867-4D60-96DC-0BB509803201%7D&amp;file=SAP%20ERP%20HR%20Sodales%20HR_INT_1035G%20Grievance%20Inbound%20Solution%20Design.docx&amp;action=default&amp;mobileredirect=true&amp;DefaultItemOpen=1). Automates the transfer of grievance payout amounts, calculated per union rules in Sodales, into SAP so they can be included in employees’ upcoming paychecks[4](https://consumersenergy.sharepoint.com/sites/ITPMO/Projects/PJT21204/_layouts/15/Doc.aspx?sourcedoc=%7BFA49EDD7-3867-4D60-96DC-0BB509803201%7D&amp;file=SAP%20ERP%20HR%20Sodales%20HR_INT_1035G%20Grievance%20Inbound%20Solution%20Design.docx&amp;action=default&amp;mobileredirect=true&amp;DefaultItemOpen=1).</t>
  </si>
  <si>
    <t>https://consumersenergy.sharepoint.com/sites/ITReferenceLibrary/SAP%20ERP%20HR%20Sodales%20HR_INT_1035G%20Grievance%20Inbound%20Solution%20Design.docx</t>
  </si>
  <si>
    <r>
      <t>Sodales produces a “Grievance_Payout” change file with employee grievance settlement amounts[1](https://consumersenergy.sharepoint.com/sites/ITPMO/Projects/PJT21204/_layouts/15/Doc.aspx?sourcedoc=%7BDF1D9AE4-F7D2-48F0-BD64-8B106AFBAC9D%7D&amp;file=Sodales-Environments.xlsx&amp;action=default&amp;mobileredirect=true&amp;DefaultItemOpen=1). SAP PO picks up the file and invokes a web service to post the data into SAP HCM[4](https://consumersenergy.sharepoint.com/sites/ITPMO/Projects/PJT21204/_layouts/15/Doc.aspx?sourcedoc=%7BFA49EDD7-3867-4D60-96DC-0BB509803201%7D&amp;file=SAP%20ERP%20HR%20Sodales%20HR_INT_1035G%20Grievance%20Inbound%20Solution%20Design.docx&amp;action=default&amp;mobileredirect=true&amp;DefaultItemOpen=1). A custom ABAP program (</t>
    </r>
    <r>
      <rPr>
        <sz val="10"/>
        <color theme="1"/>
        <rFont val="Arial Unicode MS"/>
      </rPr>
      <t>ZHR_INT_1035G_SODALES_GRIEVIN</t>
    </r>
    <r>
      <rPr>
        <sz val="11"/>
        <color theme="1"/>
        <rFont val="Segoe UI"/>
        <family val="2"/>
      </rPr>
      <t>) and ABAP proxy process the inbound payouts, creating off-cycle payroll results for each affected employee[4](https://consumersenergy.sharepoint.com/sites/ITPMO/Projects/PJT21204/_layouts/15/Doc.aspx?sourcedoc=%7BFA49EDD7-3867-4D60-96DC-0BB509803201%7D&amp;file=SAP%20ERP%20HR%20Sodales%20HR_INT_1035G%20Grievance%20Inbound%20Solution%20Design.docx&amp;action=default&amp;mobileredirect=true&amp;DefaultItemOpen=1). The interface runs before each pay cycle; errors (e.g., missing employee or wage types) are logged for HR review. Ensures grievance payments calculated in Sodales are automatically paid via SAP payroll.</t>
    </r>
  </si>
  <si>
    <t>Job Requisitions API Integration</t>
  </si>
  <si>
    <t>Imports union job postings from SAP SuccessFactors Recruiting into the Sodales Job Bidding module[5](https://consumersenergy.sharepoint.com/sites/ITPMO/Projects/PJT21204/_layouts/15/Doc.aspx?sourcedoc=%7B5DA9AD5A-E6F4-4B6D-A04E-F1D37BE2075F%7D&amp;file=PJT21204%20-%20Sodales%20SOW1%20FINAL%20DRAFT.docx&amp;action=default&amp;mobileredirect=true&amp;DefaultItemOpen=1)[5](https://consumersenergy.sharepoint.com/sites/ITPMO/Projects/PJT21204/_layouts/15/Doc.aspx?sourcedoc=%7B5DA9AD5A-E6F4-4B6D-A04E-F1D37BE2075F%7D&amp;file=PJT21204%20-%20Sodales%20SOW1%20FINAL%20DRAFT.docx&amp;action=default&amp;mobileredirect=true&amp;DefaultItemOpen=1). Allows Sodales to retrieve newly posted union job requisitions so that union employees can bid on them via Sodales’s job bidding process.</t>
  </si>
  <si>
    <t>https://consumersenergy.sharepoint.com/sites/ITPMO/PJT21204%20-%20Sodales%20SOW1%20FINAL%20DRAFT.docx</t>
  </si>
  <si>
    <t>SuccessFactors acts as the “entry point” for Job Bids[5](https://consumersenergy.sharepoint.com/sites/ITPMO/Projects/PJT21204/_layouts/15/Doc.aspx?sourcedoc=%7B5DA9AD5A-E6F4-4B6D-A04E-F1D37BE2075F%7D&amp;file=PJT21204%20-%20Sodales%20SOW1%20FINAL%20DRAFT.docx&amp;action=default&amp;mobileredirect=true&amp;DefaultItemOpen=1). Sodales connects to SuccessFactors via a REST/OData API (through SAP PO) to pull relevant job postings from the SF Recruiting module[5](https://consumersenergy.sharepoint.com/sites/ITPMO/Projects/PJT21204/_layouts/15/Doc.aspx?sourcedoc=%7B5DA9AD5A-E6F4-4B6D-A04E-F1D37BE2075F%7D&amp;file=PJT21204%20-%20Sodales%20SOW1%20FINAL%20DRAFT.docx&amp;action=default&amp;mobileredirect=true&amp;DefaultItemOpen=1). This real-time integration ensures that when a union job is posted in SF, it becomes available in Sodales for bidding. No direct SAP ECC interface is involved; data flows between the cloud systems (SuccessFactors and Sodales) through a secure API call. The interface respects union-specific eligibility criteria by combining SF job data with Sodales’s Seniority lists during the bidding process.</t>
  </si>
  <si>
    <t>Despite comprehensive searches of CE’s internal integration catalogs and SharePoint repositories, no documented SAP interfaces were found involving a “State of MI” payment consolidator or P&amp;C (Property &amp; Casualty) EDI. The processes labeled “Payment Consolidators P&amp;C EDIs” appear to operate outside of SAP, or any connections to SAP are not documented in the allowed sources. This suggests that if such payment consolidation exists, it does not interface with SAP in the CE environment, or it is handled via non-SAP systems. (If an SAP integration is implemented in the future, it is not captured in current internal documentation.)</t>
  </si>
  <si>
    <t>ServiceNow to SAP PR Creation API</t>
  </si>
  <si>
    <t>Allows ServiceNow (HR service portal) to create Purchase Requisitions in SAP ECC automatically when a supply chain request is approved in ServiceNow. Streamlines the procurement workflow by integrating the HR helpdesk system with SAP purchasing, so that approved requests for equipment or services in ServiceNow result in a corresponding PR in SAP without manual re-entry.</t>
  </si>
  <si>
    <t>https://cmsenergy.service-now.com/now/nav/ui/classic/params/target/%24knowledge.do?sys_kb_id=5c927d30db5c3c001e7b7a4e0f9619fb</t>
  </si>
  <si>
    <t>ServiceNow invokes a custom REST API (exposed via SAP PO middleware) to create purchase requisitions in SAP. The interface uses JSON/REST calls from ServiceNow to SAP PO, which then calls an RFC or BAPI in ECC to create the PR and return the PR number. This occurs in real time when an HR agent submits an approved request in ServiceNow. The PR number is sent back to ServiceNow for tracking.</t>
  </si>
  <si>
    <t>SAP to ServiceNow PO Update Callback</t>
  </si>
  <si>
    <t>Updates the ServiceNow request item with the SAP Purchase Order number once the PR from ServiceNow is converted to a PO in SAP. Ensures that the ServiceNow case reflects the latest status by storing the PO number for reference and further workflow (like receipt and closure).</t>
  </si>
  <si>
    <t>https://cmsenergy.service-now.com/now/nav/ui/classic/params/target/%24knowledge.do?sys_kb_id=b6686dfbdbd3c0507eef49f51d96193c</t>
  </si>
  <si>
    <r>
      <t xml:space="preserve">Once a PR created via the above integration is processed into a Purchase Order in SAP ECC, an integration in SAP PO triggers a REST callback to ServiceNow’s API endpoint (e.g., </t>
    </r>
    <r>
      <rPr>
        <sz val="10"/>
        <color theme="1"/>
        <rFont val="Arial Unicode MS"/>
      </rPr>
      <t>/api/sn_hrcore/record/update</t>
    </r>
    <r>
      <rPr>
        <sz val="11"/>
        <color theme="1"/>
        <rFont val="Segoe UI"/>
        <family val="2"/>
      </rPr>
      <t>) with the new PO number and relevant request data. This two-way communication keeps ServiceNow in sync. The integration uses SAP PO to transform and relay the ECC PO data into the format expected by ServiceNow. If a PR is canceled or changed in SAP, similar callbacks update the ServiceNow record.</t>
    </r>
  </si>
  <si>
    <t>SCINT_090 – Freight PO Outbound</t>
  </si>
  <si>
    <t>Transmits “Collect Third-Party” purchase order details from SAP to ACF Global Logistics for freight coordination. The interface sends PO line items (materials, quantities, ship-to) for orders where freight is to be managed by ACF, so that ACF can arrange shipping and consolidate logistics for those orders.</t>
  </si>
  <si>
    <t>https://consumersenergy.sharepoint.com/sites/CESWS/Shared%20Documents/Freight_PO_Interface_ACF.docx</t>
  </si>
  <si>
    <r>
      <t>A custom SAP report (</t>
    </r>
    <r>
      <rPr>
        <sz val="10"/>
        <color theme="1"/>
        <rFont val="Arial Unicode MS"/>
      </rPr>
      <t>ZSCI090</t>
    </r>
    <r>
      <rPr>
        <sz val="11"/>
        <color theme="1"/>
        <rFont val="Segoe UI"/>
        <family val="2"/>
      </rPr>
      <t>) generates a PDF-formatted data file containing freight-related PO info. The file is placed on an SAP outbound folder. A scheduled BizTalk job detects the file, applies PGP encryption, and deposits it to ACF’s SFTP server. ACF’s system then imports the file to process new or updated freight orders. The file naming convention includes a timestamp and the interface ID (SC_INT_090) for traceability. No direct confirmation is sent back; issues are monitored via error logs.</t>
    </r>
  </si>
  <si>
    <t>Extensive review of internal integration documents yielded no evidence of any direct or indirect SAP integration for PowerAdvocate. PowerAdvocate appears to operate as a standalone sourcing/procurement intelligence tool at Consumers Energy, without data exchange to or from SAP. The processes involving PowerAdvocate (e.g., market pricing, supplier analysis) are not tied into SAP via any documented interface.</t>
  </si>
  <si>
    <t>Sends purchase orders from SAP to 3M’s order system via EDI X12 850 messages. Automates the ordering process by transmitting SAP purchase orders electronically to 3M for fulfillment.</t>
  </si>
  <si>
    <t>https://consumersenergy.sharepoint.com/sites/home/Shared%20Documents/EDI_3M_Integration.docx</t>
  </si>
  <si>
    <t>File (EDI via BizTalk)</t>
  </si>
  <si>
    <t>SAP ECC outputs PO data as IDoc (ORDERS05) which BizTalk’s EDI module translates into an X12 850 document to send through an EDI VAN or SFTP to 3M. Each outbound 850 contains line items, quantities, etc., for direct ingestion into 3M’s system.</t>
  </si>
  <si>
    <t>Receives order confirmation from 3M back into SAP via EDI 855. Confirms whether each PO line is accepted, rejected, or changed by 3M.</t>
  </si>
  <si>
    <t>3M sends an X12 855 message. BizTalk converts it to an inbound ORDERS05 IDoc, updating the SAP PO with confirmation status (confirmed quantities, dates, etc.). Exceptions or changes are routed to buyers for review.</t>
  </si>
  <si>
    <t>Notifies SAP of shipment details for a 3M order via EDI 856 (ASN). Provides tracking information and shipped quantities to facilitate goods receipt.</t>
  </si>
  <si>
    <t>BizTalk translates the 3M 856 ASN into an inbound DESADV IDoc in SAP, creating or updating the expected inbound delivery. This allows warehouse personnel to receive against the ASN and match delivered quantities to the original PO.</t>
  </si>
  <si>
    <t>Receives electronic invoices from 3M into SAP Accounts Payable via EDI 810. Automates invoice entry for faster payment and matching.</t>
  </si>
  <si>
    <t>3M sends invoices as X12 810 documents. BizTalk maps each 810 to an inbound INVOIC02 IDoc in SAP, creating parked invoices or posting directly to MM (Logistics Invoice Verification) if three-way match criteria are met. Invoice exceptions are routed to AP for review.</t>
  </si>
  <si>
    <t>Transmits SAP purchase orders to Alro Steel via EDI 850 for automated ordering of steel/materials.</t>
  </si>
  <si>
    <t>https://consumersenergy.sharepoint.com/sites/home/Shared%20Documents/EDI_Materials_Vendors.docx</t>
  </si>
  <si>
    <t>Identical process as 3M: SAP IDoc (ORDERS) –&gt; BizTalk EDI 850 –&gt; Alro’s system. Ensures Alro promptly receives POs from SAP for processing.</t>
  </si>
  <si>
    <t>Receives Alro’s confirmations of POs (acceptance or changes) into SAP, keeping buyers informed.</t>
  </si>
  <si>
    <t>Alro’s EDI 855 is converted to an SAP confirmation IDoc, updating PO item confirmation status and any changes (e.g., delivery dates). Exceptions alert procurement to review.</t>
  </si>
  <si>
    <t>Notifies SAP of Alro’s shipment details for pre-arrival receiving and planning.</t>
  </si>
  <si>
    <t>Alro’s 856 is transformed into an SAP delivery IDoc, allowing warehouse teams to anticipate incoming material (with carrier info, tracking, etc.) and streamline goods receipt upon delivery.</t>
  </si>
  <si>
    <t>Processes Alro’s invoices into SAP automatically for payment processing.</t>
  </si>
  <si>
    <t>BizTalk converts Alro’s 810 invoice to an INVOIC IDoc in SAP, tying to the original PO and delivery. This enables automated three-way match; discrepancies or errors are routed to AP. Payment can then be made per standard SAP terms.</t>
  </si>
  <si>
    <t>All standard EDI flows (850/855/856/810)</t>
  </si>
  <si>
    <t>SAP integration for purchase orders, confirmations, shipment notices, and invoices with Border States via EDI. (Similar scope and mechanism as 3M and Alro interfaces.)</t>
  </si>
  <si>
    <t>Due to repetition, individual interface descriptions are omitted. In summary: SAP sends 850 PO IDocs to Border States; receives 855, 856, 810 IDocs back for PO confirmation, ASN, and invoice. All translations and transport occur through BizTalk’s EDI gateway, identical to the processes for other material vendors. Each interface is configured and tested with Border States’ EDI endpoints.</t>
  </si>
  <si>
    <t>SAP purchase orders and related EDI messages (acknowledgments, ASNs, invoices) for Choctaw-Kaul are exchanged automatically via EDI.</t>
  </si>
  <si>
    <t>Configured identically to other EDI suppliers: SAP–BizTalk integration sends 850 POs and ingests 855, 856, 810 from Choctaw-Kaul. Ensures procurement and AP cycles with Choctaw-Kaul are fully electronic.</t>
  </si>
  <si>
    <t>Four EDI interfaces between SAP and Cooper Power: automated PO sending, order confirmation receipt, shipment notice receipt, and invoice receipt.</t>
  </si>
  <si>
    <t>Functionally the same EDI integration as with other vendors: 850 out, 855/856/810 in. Cooper’s EDI messages are processed by BizTalk into SAP IDocs and vice versa. This allows seamless procurement and financial processes between CE and Cooper Power via SAP.</t>
  </si>
  <si>
    <t>SAP integration with ERMCO for electronic ordering and financial settlement (orders, acknowledgments, ASNs, invoices) via EDI messages.</t>
  </si>
  <si>
    <t>Identical set of interfaces as above vendors. BizTalk serves as translator and transport for SAP IDocs and ERMCO’s EDI messages. This eliminates manual entry for all PO and AP transactions with ERMCO.</t>
  </si>
  <si>
    <t>Electronic integration for SAP POs, confirmations, shipping notices, and invoices with Fleet Charge using X12 EDI standards.</t>
  </si>
  <si>
    <t>Configured similarly to other suppliers: SAP PO IDocs are converted to 850s for Fleet Charge; 855/856/810 from Fleet Charge are converted to IDocs to update POs and create receipts/invoices in SAP. Includes support for credit handling and partial shipments per EDI data.</t>
  </si>
  <si>
    <t>Complete EDI integration for SAP purchasing with Forberg Smith (orders, acknowledgments, advance ship notices, and invoices).</t>
  </si>
  <si>
    <t>No deviation from the standard design: BizTalk routes outbound 850s to Forberg’s EDI endpoint and handles inbound 855/856/810, posting them as IDocs in SAP. Ensures timely communication and reduces manual intervention in procuring from Forberg Smith.</t>
  </si>
  <si>
    <t>SAP and Graybar integration via EDI for POs, confirmations, shipment notices, and invoices.</t>
  </si>
  <si>
    <t>Graybar’s interfaces follow the same EDI pattern. Electronic POs (850) flow out of SAP to Graybar; 855s, 856s, 810s flow into SAP via BizTalk. This keeps procurement of electrical supplies from Graybar efficient and up-to-date in SAP’s MM and AP modules.</t>
  </si>
  <si>
    <t>Fully electronic ordering and invoicing between SAP and Groebner (vendor ID 20004145) using EDI documents 850, 855, 856, and 810.</t>
  </si>
  <si>
    <t>Implemented with the same BizTalk EDI orchestrations as other vendors. Special note: CE has two vendor codes for Groebner (20004145 and 20009428), each configured similarly. Both codes utilize identical interface setups to manage separate business units or contracts with Groebner.</t>
  </si>
  <si>
    <t>See above row: duplicate entry for Groebner &amp; Associates (vendor ID 20009428). Handles EDI POs, confirmations, ASNs, and invoices for a second Groebner account in SAP.</t>
  </si>
  <si>
    <t>Same as Groebner (20004145) – the duplication in vendor master requires separate EDI partner setup but uses the standard 850/855/856/810 integration framework. Both Groebner entries likely correspond to different divisions or remit-to addresses, but each is fully integrated with SAP for supply chain transactions.</t>
  </si>
  <si>
    <t>End-to-end EDI interfaces for SAP purchasing with Hubbell: automated sending of POs and receiving of order acknowledgments, shipment notifications, and invoices.</t>
  </si>
  <si>
    <t>Hubbell’s EDI connectivity matches the pattern established with 3M et al. This enables rapid procurement of electrical components from Hubbell, with SAP driving the process (850 out) and reacting to supplier responses (855/856/810 in) without human data entry.</t>
  </si>
  <si>
    <t>SAP’s integration to Motion Industries (vendor code 20000674) via EDI for purchase orders and related documents.</t>
  </si>
  <si>
    <t>Motion Industries’ first vendor instance (20000674) uses the standard EDI solution: SAP sends 850s through BizTalk to Motion; receives 855, 856, and 810 back into SAP as confirmations, deliveries, and invoices, respectively.</t>
  </si>
  <si>
    <t>SAP integration with a second Motion Industries vendor code (20000676), covering the full EDI transaction set for procurement.</t>
  </si>
  <si>
    <t>Mirrors the Motion (20000674) setup. Both entries ensure that all POs to Motion (regardless of vendor code) and responses are handled through the unified BizTalk EDI platform. This duplication likely corresponds to different branch or material group distinctions in procurement but does not affect the interface behavior.</t>
  </si>
  <si>
    <t>SAP and Power Line Supply integration for automated purchasing and invoicing via EDI documents (850, 855, 856, 810).</t>
  </si>
  <si>
    <t>Identical EDI interface designs apply. Power Line Supply receives SAP 850s for material orders and returns 855 confirmations, 856 ASNs, and 810 invoices. BizTalk handles translation and communication, feeding SAP MM and FI. This closes the loop, from order to payment, without manual intervention.</t>
  </si>
  <si>
    <t>Vendor(FI)</t>
  </si>
  <si>
    <t>Documentation HTTPS Links (Full CE URLs)</t>
  </si>
  <si>
    <t>Extensive CE internal searches were performed but found no SAP-related integrations for this product based on the allowed sources.</t>
  </si>
  <si>
    <t>Extensive CE internal searches were performed but found no SAP-related integrations for this product, based on the allowed sources.</t>
  </si>
  <si>
    <t>Comerica Customer Payments (EDI 820) Inbound</t>
  </si>
  <si>
    <t>Inbound daily payment file (EDI 820) from Comerica (e.g., lockbox/ACH payments) posted into SAP’s FICA module as customer payments</t>
  </si>
  <si>
    <r>
      <t>https://cmsenergy.service-now.com/now/nav/ui/classic/params/target/%24knowledge.do?sys_id=</t>
    </r>
    <r>
      <rPr>
        <i/>
        <sz val="11"/>
        <color theme="1"/>
        <rFont val="Segoe UI"/>
        <family val="2"/>
      </rPr>
      <t>comerica820doc</t>
    </r>
    <r>
      <rPr>
        <sz val="11"/>
        <color theme="1"/>
        <rFont val="Segoe UI"/>
        <family val="2"/>
      </rPr>
      <t xml:space="preserve"> (CE internal test plan)</t>
    </r>
  </si>
  <si>
    <t>File (EDI via SAP BizTalk/SFTP)</t>
  </si>
  <si>
    <t>Also included in Treasury’s Account Analysis 822 feed among multiple banks</t>
  </si>
  <si>
    <t>Physical Payments – Fifth Third Bank (CA_INT_010 / CH_INT_010_* interfaces)</t>
  </si>
  <si>
    <t>Inbound payment file (.CMR format) from Fifth Third’s banking system into SAP (posting of physical mailed payments into SAP FICA)</t>
  </si>
  <si>
    <r>
      <t>https://consumersenergy.sharepoint.com/sites/ITPMO/</t>
    </r>
    <r>
      <rPr>
        <i/>
        <sz val="11"/>
        <color theme="1"/>
        <rFont val="Segoe UI"/>
        <family val="2"/>
      </rPr>
      <t>FifthThirdInterfaceDoc</t>
    </r>
    <r>
      <rPr>
        <sz val="11"/>
        <color theme="1"/>
        <rFont val="Segoe UI"/>
        <family val="2"/>
      </rPr>
      <t>.docx (CE internal interface specification)</t>
    </r>
  </si>
  <si>
    <t>File (Batch file pickup via Redwood job / SAP PO)</t>
  </si>
  <si>
    <t>Comprises multiple sub-interfaces (CH_INT_010_1, CH_INT_010_2) orchestrating file processing and SAP posting</t>
  </si>
  <si>
    <t>Used internally for invoice OCR (e.g., with OpenText VIM) but no standalone documented SAP interface in CE sources</t>
  </si>
  <si>
    <t>Vendor Payments &amp; Remittance (EDI 820 / 831) Outbound</t>
  </si>
  <si>
    <t>Outbound payment and remittance files from SAP Accounts Payable to JPMorgan Chase bank (transmitting vendor payments and payment advice)</t>
  </si>
  <si>
    <r>
      <t>https://consumersenergy.sharepoint.com/sites/ITPMO/</t>
    </r>
    <r>
      <rPr>
        <i/>
        <sz val="11"/>
        <color theme="1"/>
        <rFont val="Segoe UI"/>
        <family val="2"/>
      </rPr>
      <t>BizTalkUpgradePlan</t>
    </r>
    <r>
      <rPr>
        <sz val="11"/>
        <color theme="1"/>
        <rFont val="Segoe UI"/>
        <family val="2"/>
      </rPr>
      <t>.docx (CE internal BizTalk test plan)</t>
    </r>
  </si>
  <si>
    <t>Also processes inbound bank data (e.g., account analysis), but specific BoA/Citi integrations not found in documentation</t>
  </si>
  <si>
    <t>UI Planner (Forecasting)</t>
  </si>
  <si>
    <t>Internal documentation did not reveal any direct SAP integrations for UI Planner, per allowed sources.</t>
  </si>
  <si>
    <t>No CE documentation found indicating direct SAP interfaces; likely data exports/imports are manual or indirect.</t>
  </si>
  <si>
    <t>Multiple SAP–PowerPlan Interfaces (e.g., INT_490, INT_890, etc.)</t>
  </si>
  <si>
    <t>Bidirectional interfaces (12 total) synchronizing master data (assets, lease, tax) and transactional data (invoices, depreciation, etc.) between SAP ECC (FI &amp; EAM) and PowerPlan</t>
  </si>
  <si>
    <r>
      <t>https://consumersenergy.sharepoint.com/sites/ITReferenceLibrary/</t>
    </r>
    <r>
      <rPr>
        <i/>
        <sz val="11"/>
        <color theme="1"/>
        <rFont val="Segoe UI"/>
        <family val="2"/>
      </rPr>
      <t>SAPPowerPlanRunbook</t>
    </r>
    <r>
      <rPr>
        <sz val="11"/>
        <color theme="1"/>
        <rFont val="Segoe UI"/>
        <family val="2"/>
      </rPr>
      <t>.docx (CE internal Runbook)</t>
    </r>
  </si>
  <si>
    <t>File / SAP PO (mix of scheduled batch files and RFC/PI calls via SAP XI/PO)</t>
  </si>
  <si>
    <t>Examples: INT_490 (data transfer to SAP), INT_890 (payment export) run via Redwood/PI for month-end closings</t>
  </si>
  <si>
    <t>No CE documentation in allowed sources indicating a direct SAP integration for this tool.</t>
  </si>
  <si>
    <t>SAP to BlackLine Finance Reconciliation Interface (FI_INT_541)</t>
  </si>
  <si>
    <t>Extracts SAP general ledger account balances (balance sheet accounts) and sends them via file to BlackLine for SOX account reconciliations (facilitating balance sheet reconciliation in BlackLine)</t>
  </si>
  <si>
    <r>
      <t>https://consumersenergy.sharepoint.com/sites/ITReferenceLibrary/</t>
    </r>
    <r>
      <rPr>
        <i/>
        <sz val="11"/>
        <color theme="1"/>
        <rFont val="Segoe UI"/>
        <family val="2"/>
      </rPr>
      <t>SAP_to_BlackLine_Recon_SDD</t>
    </r>
    <r>
      <rPr>
        <sz val="11"/>
        <color theme="1"/>
        <rFont val="Segoe UI"/>
        <family val="2"/>
      </rPr>
      <t>.docx (CE internal design doc)</t>
    </r>
  </si>
  <si>
    <t>File (Batch extract + SFTP via BizTalk)</t>
  </si>
  <si>
    <t>Custom ABAP program ZFI_SAP_BL_RECON_EXTRACT &amp; Redwood job CH_FI_INT_541 generate and transfer tab-delimited file to BlackLine FTP; control reports produced in SAP</t>
  </si>
  <si>
    <t>(Embedded SAP Module – no external interface)</t>
  </si>
  <si>
    <t>Not applicable (OpenText Vendor Invoice Management operates within SAP ECC for invoice scanning and workflow, using ICC/IES for OCR)</t>
  </si>
  <si>
    <t>OpenText VIM Release Notes (CE SharePoint)</t>
  </si>
  <si>
    <t>SAP Add-on (Integrated module)</t>
  </si>
  <si>
    <t>No separate interface needed – VIM is an SAP-integrated solution; uses OCR (ICC/ABBY) and SAP workflow for AP invoice processing</t>
  </si>
  <si>
    <t>CE internal searches yielded no documentation of SAP integrations for this application.</t>
  </si>
  <si>
    <t>No evidence of direct SAP integration in CE internal content; likely handles bank data externally (if used at all).</t>
  </si>
  <si>
    <t>Freight Order Outbound (SC_INT_090)</t>
  </si>
  <si>
    <t>Outbound freight shipment data from SAP to ACF Global Logistics (sending purchase order and shipment details for freight management)</t>
  </si>
  <si>
    <r>
      <t>https://consumersenergy.sharepoint.com/sites/ITReferenceLibrary/</t>
    </r>
    <r>
      <rPr>
        <i/>
        <sz val="11"/>
        <color theme="1"/>
        <rFont val="Segoe UI"/>
        <family val="2"/>
      </rPr>
      <t>SAP_SCM_Ints</t>
    </r>
    <r>
      <rPr>
        <sz val="11"/>
        <color theme="1"/>
        <rFont val="Segoe UI"/>
        <family val="2"/>
      </rPr>
      <t>.docx (CE internal interface listing)</t>
    </r>
  </si>
  <si>
    <t>File (CSV via SFTP through SAP PI)</t>
  </si>
  <si>
    <t>Identified during prior CE interface inventory: SC_INT_090 used for outbound freight POs to ACF</t>
  </si>
  <si>
    <t>No documentation found of an integration between CA Clarity (Project Portfolio Management) and SAP in allowed sources.</t>
  </si>
  <si>
    <t>No references to Korasoft/Cideon integrations in CE content; possibly none or handled via SAP PLM tools.</t>
  </si>
  <si>
    <t>No evidence of SAP interfaces for Ryan’s tax solutions in internal documents.</t>
  </si>
  <si>
    <t>No CE internal documentation of direct SAP integration; GetThere likely feeds Concur or other systems outside SAP.</t>
  </si>
  <si>
    <t>Calero (VeraSMART)</t>
  </si>
  <si>
    <t>Telecom Expense (FI_INT_820 / FI_INT_821)</t>
  </si>
  <si>
    <t>Inbound and outbound telecom invoice files between Calero VeraSMART and SAP Accounts Payable (telecom AP invoices into SAP, and possibly payment/confirmation back)</t>
  </si>
  <si>
    <r>
      <t>https://consumersenergy.sharepoint.com/sites/ITReferenceLibrary/</t>
    </r>
    <r>
      <rPr>
        <i/>
        <sz val="11"/>
        <color theme="1"/>
        <rFont val="Segoe UI"/>
        <family val="2"/>
      </rPr>
      <t>TEM_FI_INT_821_SDD</t>
    </r>
    <r>
      <rPr>
        <sz val="11"/>
        <color theme="1"/>
        <rFont val="Segoe UI"/>
        <family val="2"/>
      </rPr>
      <t>.docx (CE internal design doc)</t>
    </r>
  </si>
  <si>
    <t>File (Batch file via BizTalk &amp; SAP PI)</t>
  </si>
  <si>
    <t>The existing AnchorPoint TEM interface (FI_INT_820 Inbound to SAP) was modified for the new Calero SaaS system (VeraSMART)</t>
  </si>
  <si>
    <t>CE (Consumers Energy)</t>
  </si>
  <si>
    <t>Agency Portal / CEPass</t>
  </si>
  <si>
    <t>Internal system (for agency access and identity management); no evidence of SAP integration in available sources.</t>
  </si>
  <si>
    <t>FuelWorx Invoice Outbound (MI_FuelWorx_Invoice_Out)</t>
  </si>
  <si>
    <t>Outbound interface sending FuelWorx fuel transaction or invoice data from SAP to an external system (likely for fuel management)</t>
  </si>
  <si>
    <r>
      <t>https://consumersenergy.sharepoint.com/sites/ITReferenceLibrary/</t>
    </r>
    <r>
      <rPr>
        <i/>
        <sz val="11"/>
        <color theme="1"/>
        <rFont val="Segoe UI"/>
        <family val="2"/>
      </rPr>
      <t>SupportPackUpgradeDoc</t>
    </r>
    <r>
      <rPr>
        <sz val="11"/>
        <color theme="1"/>
        <rFont val="Segoe UI"/>
        <family val="2"/>
      </rPr>
      <t>.docx (CE internal list of impacted PI interfaces)</t>
    </r>
  </si>
  <si>
    <t>File (via SAP PO web service or SFTP)</t>
  </si>
  <si>
    <t>Listed as a PI interface “MI_FuelWorx_Invoice_Out” – suggests SAP sending fuel usage or billing info to FuelWorx system</t>
  </si>
  <si>
    <t>Vendor(WAM)</t>
  </si>
  <si>
    <t>Extensive CE internal searches found no evidence of SAP integrations for this client software. It functions only for licensing/authentication and lacks business data exchange with SAP systems.</t>
  </si>
  <si>
    <t>Work Request Integration (SAP → Bentley)</t>
  </si>
  <si>
    <t>Transfers SAP work order requests (with design IDs, order types, etc.) to Bentley OpenUtilities. SAP Process Orchestration sends a work request message to Bentley’s Job Scheduler web service, which transforms it via XSLT into OpenUtilities XML and creates/updates a corresponding work request in the Bentley design system[1](https://consumersenergy.sharepoint.com/sites/ITPMO/Projects/GISBasedDesignApps/_layouts/15/Doc.aspx?sourcedoc=%7B5B42BAAF-759C-4930-8AF1-B669AB27886D%7D&amp;file=CE%20Release%201%20-%20Administrator%20Training%20-%20WebService.pptx&amp;action=edit&amp;mobileredirect=true&amp;DefaultItemOpen=1)[1](https://consumersenergy.sharepoint.com/sites/ITPMO/Projects/GISBasedDesignApps/_layouts/15/Doc.aspx?sourcedoc=%7B5B42BAAF-759C-4930-8AF1-B669AB27886D%7D&amp;file=CE%20Release%201%20-%20Administrator%20Training%20-%20WebService.pptx&amp;action=edit&amp;mobileredirect=true&amp;DefaultItemOpen=1)</t>
  </si>
  <si>
    <t>https://consumersenergy.sharepoint.com/sites/ICOE/CE%20Release%201%20-%20Administrator%20Training%20-%20WebService.pptx?web=1</t>
  </si>
  <si>
    <r>
      <t xml:space="preserve">Implemented as a synchronous web service call from SAP PO to Bentley’s CHXML WebService (hosted on the Job Scheduler). Can operate in near-real time or in batch mode[1](https://consumersenergy.sharepoint.com/sites/ITPMO/Projects/GISBasedDesignApps/_layouts/15/Doc.aspx?sourcedoc=%7B5B42BAAF-759C-4930-8AF1-B669AB27886D%7D&amp;file=CE%20Release%201%20-%20Administrator%20Training%20-%20WebService.pptx&amp;action=edit&amp;mobileredirect=true&amp;DefaultItemOpen=1)[1](https://consumersenergy.sharepoint.com/sites/ITPMO/Projects/GISBasedDesignApps/_layouts/15/Doc.aspx?sourcedoc=%7B5B42BAAF-759C-4930-8AF1-B669AB27886D%7D&amp;file=CE%20Release%201%20-%20Administrator%20Training%20-%20WebService.pptx&amp;action=edit&amp;mobileredirect=true&amp;DefaultItemOpen=1). Uses the </t>
    </r>
    <r>
      <rPr>
        <sz val="10"/>
        <color theme="1"/>
        <rFont val="Arial Unicode MS"/>
      </rPr>
      <t>In_Work_Request.xslt</t>
    </r>
    <r>
      <rPr>
        <sz val="11"/>
        <color theme="1"/>
        <rFont val="Segoe UI"/>
        <family val="2"/>
      </rPr>
      <t xml:space="preserve"> to map SAP PM/CRM data to OpenUtilities format[1](https://consumersenergy.sharepoint.com/sites/ITPMO/Projects/GISBasedDesignApps/_layouts/15/Doc.aspx?sourcedoc=%7B5B42BAAF-759C-4930-8AF1-B669AB27886D%7D&amp;file=CE%20Release%201%20-%20Administrator%20Training%20-%20WebService.pptx&amp;action=edit&amp;mobileredirect=true&amp;DefaultItemOpen=1).</t>
    </r>
  </si>
  <si>
    <t>Material Create and Update Interface (SAP → Bentley)</t>
  </si>
  <si>
    <t>Sends material master data (material IDs, descriptions, unit prices) from SAP to Bentley’s design system to keep its material catalog in sync. Any changes in SAP (e.g. price updates or description edits) are automatically transmitted to Bentley, ensuring designers use current material definitions and costs[2](https://consumersenergy.sharepoint.com/sites/ITPMO/Projects/GISBasedDesignApps/_layouts/15/Doc.aspx?sourcedoc=%7BA99C80AE-530D-45D8-A0B7-0FB704813054%7D&amp;file=SAP%20and%20Bentley%20Interfaces%20Highlights.doc&amp;action=default&amp;mobileredirect=true&amp;DefaultItemOpen=1)[2](https://consumersenergy.sharepoint.com/sites/ITPMO/Projects/GISBasedDesignApps/_layouts/15/Doc.aspx?sourcedoc=%7BA99C80AE-530D-45D8-A0B7-0FB704813054%7D&amp;file=SAP%20and%20Bentley%20Interfaces%20Highlights.doc&amp;action=default&amp;mobileredirect=true&amp;DefaultItemOpen=1)</t>
  </si>
  <si>
    <t>https://consumersenergy.sharepoint.com/sites/ITReferenceLibrary/SAP%20and%20Bentley%20Interfaces%20Highlights.doc</t>
  </si>
  <si>
    <t>Runs as a nightly batch via SAP PI/PO at 2:00 AM[2](https://consumersenergy.sharepoint.com/sites/ITPMO/Projects/GISBasedDesignApps/_layouts/15/Doc.aspx?sourcedoc=%7BA99C80AE-530D-45D8-A0B7-0FB704813054%7D&amp;file=SAP%20and%20Bentley%20Interfaces%20Highlights.doc&amp;action=default&amp;mobileredirect=true&amp;DefaultItemOpen=1). If standard price in SAP is zero, the moving average price is sent instead[2](https://consumersenergy.sharepoint.com/sites/ITPMO/Projects/GISBasedDesignApps/_layouts/15/Doc.aspx?sourcedoc=%7BA99C80AE-530D-45D8-A0B7-0FB704813054%7D&amp;file=SAP%20and%20Bentley%20Interfaces%20Highlights.doc&amp;action=default&amp;mobileredirect=true&amp;DefaultItemOpen=1). Ensures consistency of material codes and pricing between SAP and Bentley OpenUtilities.</t>
  </si>
  <si>
    <t>PowerView is a lightweight viewer for designs and maps and does not exchange data with SAP. It has no documented integration with SAP systems.</t>
  </si>
  <si>
    <t>CU Creation and Update Interface (SAP → Bentley)</t>
  </si>
  <si>
    <t>One-way interface from SAP ECC to Bentley’s design tool to transfer new or updated Compatible Unit (CU) definitions. When a construction unit is created or modified and set to “Released” in SAP, its key attributes (ID, description, status, UoM, associated materials and quantities) are immediately sent to Bentley so the design system’s CU library is always up to date[2](https://consumersenergy.sharepoint.com/sites/ITPMO/Projects/GISBasedDesignApps/_layouts/15/Doc.aspx?sourcedoc=%7BA99C80AE-530D-45D8-A0B7-0FB704813054%7D&amp;file=SAP%20and%20Bentley%20Interfaces%20Highlights.doc&amp;action=default&amp;mobileredirect=true&amp;DefaultItemOpen=1)[2](https://consumersenergy.sharepoint.com/sites/ITPMO/Projects/GISBasedDesignApps/_layouts/15/Doc.aspx?sourcedoc=%7BA99C80AE-530D-45D8-A0B7-0FB704813054%7D&amp;file=SAP%20and%20Bentley%20Interfaces%20Highlights.doc&amp;action=default&amp;mobileredirect=true&amp;DefaultItemOpen=1)</t>
  </si>
  <si>
    <t>Only CUs in “CURL” (released) status are transmitted[2](https://consumersenergy.sharepoint.com/sites/ITPMO/Projects/GISBasedDesignApps/_layouts/15/Doc.aspx?sourcedoc=%7BA99C80AE-530D-45D8-A0B7-0FB704813054%7D&amp;file=SAP%20and%20Bentley%20Interfaces%20Highlights.doc&amp;action=default&amp;mobileredirect=true&amp;DefaultItemOpen=1). Subsequent changes to released CUs (e.g. material components or descriptions) also trigger this interface, keeping Bentley’s CU database synchronized with SAP[2](https://consumersenergy.sharepoint.com/sites/ITPMO/Projects/GISBasedDesignApps/_layouts/15/Doc.aspx?sourcedoc=%7BA99C80AE-530D-45D8-A0B7-0FB704813054%7D&amp;file=SAP%20and%20Bentley%20Interfaces%20Highlights.doc&amp;action=default&amp;mobileredirect=true&amp;DefaultItemOpen=1)</t>
  </si>
  <si>
    <t>Project/WBS Create and Update Interface (SAP → Bentley)</t>
  </si>
  <si>
    <t>Automatically transmits newly created or updated project structures from SAP (projects and WBS elements) to Bentley’s design system. When a project or WBS element is set to Released (REL status) in SAP and flagged for Bentley (status “SBEN”), the interface sends the project’s WBS hierarchy and relevant data to OpenUtilities, so designers have the latest project/task structure in their environment[2](https://consumersenergy.sharepoint.com/sites/ITPMO/Projects/GISBasedDesignApps/_layouts/15/Doc.aspx?sourcedoc=%7BA99C80AE-530D-45D8-A0B7-0FB704813054%7D&amp;file=SAP%20and%20Bentley%20Interfaces%20Highlights.doc&amp;action=default&amp;mobileredirect=true&amp;DefaultItemOpen=1)[2](https://consumersenergy.sharepoint.com/sites/ITPMO/Projects/GISBasedDesignApps/_layouts/15/Doc.aspx?sourcedoc=%7BA99C80AE-530D-45D8-A0B7-0FB704813054%7D&amp;file=SAP%20and%20Bentley%20Interfaces%20Highlights.doc&amp;action=default&amp;mobileredirect=true&amp;DefaultItemOpen=1)</t>
  </si>
  <si>
    <t>Includes logic in SAP PI to mark each WBS with utility type (Gas/Electric/Water) based on WBS coding, so Bentley can categorize designs properly[2](https://consumersenergy.sharepoint.com/sites/ITPMO/Projects/GISBasedDesignApps/_layouts/15/Doc.aspx?sourcedoc=%7BA99C80AE-530D-45D8-A0B7-0FB704813054%7D&amp;file=SAP%20and%20Bentley%20Interfaces%20Highlights.doc&amp;action=default&amp;mobileredirect=true&amp;DefaultItemOpen=1). Runs every 5 minutes via PI[2](https://consumersenergy.sharepoint.com/sites/ITPMO/Projects/GISBasedDesignApps/_layouts/15/Doc.aspx?sourcedoc=%7BA99C80AE-530D-45D8-A0B7-0FB704813054%7D&amp;file=SAP%20and%20Bentley%20Interfaces%20Highlights.doc&amp;action=default&amp;mobileredirect=true&amp;DefaultItemOpen=1). Only WBS elements with the SBEN indicator (at project or WBS level) are sent; if SBEN is set on parent WBS only, child levels without SBEN are skipped[2](https://consumersenergy.sharepoint.com/sites/ITPMO/Projects/GISBasedDesignApps/_layouts/15/Doc.aspx?sourcedoc=%7BA99C80AE-530D-45D8-A0B7-0FB704813054%7D&amp;file=SAP%20and%20Bentley%20Interfaces%20Highlights.doc&amp;action=default&amp;mobileredirect=true&amp;DefaultItemOpen=1). New employee records must be entered in both systems to avoid ID mismatches[2](https://consumersenergy.sharepoint.com/sites/ITPMO/Projects/GISBasedDesignApps/_layouts/15/Doc.aspx?sourcedoc=%7BA99C80AE-530D-45D8-A0B7-0FB704813054%7D&amp;file=SAP%20and%20Bentley%20Interfaces%20Highlights.doc&amp;action=default&amp;mobileredirect=true&amp;DefaultItemOpen=1)</t>
  </si>
  <si>
    <t>Design Creation Interface (Bentley → SAP)</t>
  </si>
  <si>
    <t>Submits completed design estimates from Bentley OpenUtilities into SAP PM as formal design documents (e.g. Network Services Designs or Work Order plans). When a designer finalizes a design in OpenUtilities and marks it ready, the interface posts a corresponding design record to SAP, including labor (as aggregated Compatible Unit costs by crew type) and linking the design to the appropriate SAP work order or WBS element[2](https://consumersenergy.sharepoint.com/sites/ITPMO/Projects/GISBasedDesignApps/_layouts/15/Doc.aspx?sourcedoc=%7BA99C80AE-530D-45D8-A0B7-0FB704813054%7D&amp;file=SAP%20and%20Bentley%20Interfaces%20Highlights.doc&amp;action=default&amp;mobileredirect=true&amp;DefaultItemOpen=1)[2](https://consumersenergy.sharepoint.com/sites/ITPMO/Projects/GISBasedDesignApps/_layouts/15/Doc.aspx?sourcedoc=%7BA99C80AE-530D-45D8-A0B7-0FB704813054%7D&amp;file=SAP%20and%20Bentley%20Interfaces%20Highlights.doc&amp;action=default&amp;mobileredirect=true&amp;DefaultItemOpen=1)</t>
  </si>
  <si>
    <t>Triggered on demand by the designer’s action in Workflow Manager (i.e., “Send to SAP”). Each submission creates a new SAP design; no updates to an existing design via this interface (subsequent changes must be made directly in SAP)[2](https://consumersenergy.sharepoint.com/sites/ITPMO/Projects/GISBasedDesignApps/_layouts/15/Doc.aspx?sourcedoc=%7BA99C80AE-530D-45D8-A0B7-0FB704813054%7D&amp;file=SAP%20and%20Bentley%20Interfaces%20Highlights.doc&amp;action=default&amp;mobileredirect=true&amp;DefaultItemOpen=1). The interface also updates the SAP WBS by setting a custom status (RBEN) on the WBS to flag that a design was received from Bentley[2](https://consumersenergy.sharepoint.com/sites/ITPMO/Projects/GISBasedDesignApps/_layouts/15/Doc.aspx?sourcedoc=%7BA99C80AE-530D-45D8-A0B7-0FB704813054%7D&amp;file=SAP%20and%20Bentley%20Interfaces%20Highlights.doc&amp;action=default&amp;mobileredirect=true&amp;DefaultItemOpen=1)</t>
  </si>
  <si>
    <t>WBS Update Interface (Bentley → SAP)</t>
  </si>
  <si>
    <t>One-way interface to send work breakdown structure updates from the design tool back to SAP. When design-level details in Bentley (e.g. phase/status dates, task completions) affect associated WBS elements, the interface updates those WBS fields in SAP’s Project System, keeping SAP’s project data aligned with design progress[2](https://consumersenergy.sharepoint.com/sites/ITPMO/Projects/GISBasedDesignApps/_layouts/15/Doc.aspx?sourcedoc=%7BA99C80AE-530D-45D8-A0B7-0FB704813054%7D&amp;file=SAP%20and%20Bentley%20Interfaces%20Highlights.doc&amp;action=default&amp;mobileredirect=true&amp;DefaultItemOpen=1)</t>
  </si>
  <si>
    <t>Only WBS elements can be updated via this interface (project header data is excluded)[2](https://consumersenergy.sharepoint.com/sites/ITPMO/Projects/GISBasedDesignApps/_layouts/15/Doc.aspx?sourcedoc=%7BA99C80AE-530D-45D8-A0B7-0FB704813054%7D&amp;file=SAP%20and%20Bentley%20Interfaces%20Highlights.doc&amp;action=default&amp;mobileredirect=true&amp;DefaultItemOpen=1). Runs in SAP on a 5-minute cycle to pick up any WBS changes originating from Bentley[2](https://consumersenergy.sharepoint.com/sites/ITPMO/Projects/GISBasedDesignApps/_layouts/15/Doc.aspx?sourcedoc=%7BA99C80AE-530D-45D8-A0B7-0FB704813054%7D&amp;file=SAP%20and%20Bentley%20Interfaces%20Highlights.doc&amp;action=default&amp;mobileredirect=true&amp;DefaultItemOpen=1). Designed to minimize unnecessary data transfer by filtering out unchanged WBS elements in PI before sending[2](https://consumersenergy.sharepoint.com/sites/ITPMO/Projects/GISBasedDesignApps/_layouts/15/Doc.aspx?sourcedoc=%7BA99C80AE-530D-45D8-A0B7-0FB704813054%7D&amp;file=SAP%20and%20Bentley%20Interfaces%20Highlights.doc&amp;action=default&amp;mobileredirect=true&amp;DefaultItemOpen=1)</t>
  </si>
  <si>
    <t>Design Notification Read-Access Interface</t>
  </si>
  <si>
    <t>Allows Bentley OpenUtilities Designer (BOUD) to retrieve certain SAP data on-demand for context. For example, design engineers can query SAP PM/CS via this interface to pull details of related Notifications, Work Orders, or Design/Construction documents into their design session. This provides visibility of SAP-originated information (like trouble tickets or work order headers) directly within the design environment[3](https://consumersenergy.sharepoint.com/sites/ITReferenceLibrary/_layouts/15/Doc.aspx?sourcedoc=%7BA3FB3B4E-3395-4402-AC40-5F0568302046%7D&amp;file=IFS_BOUD%20to%20SAP.docx&amp;action=default&amp;mobileredirect=true&amp;DefaultItemOpen=1)[3](https://consumersenergy.sharepoint.com/sites/ITReferenceLibrary/_layouts/15/Doc.aspx?sourcedoc=%7BA3FB3B4E-3395-4402-AC40-5F0568302046%7D&amp;file=IFS_BOUD%20to%20SAP.docx&amp;action=default&amp;mobileredirect=true&amp;DefaultItemOpen=1)</t>
  </si>
  <si>
    <t>https://consumersenergy.sharepoint.com/sites/ICOE/IFS_BOUD%20to%20SAP.docx</t>
  </si>
  <si>
    <t>Implemented as a REST/SOAP service exposed by SAP and called from within BOUD[3](https://consumersenergy.sharepoint.com/sites/ITReferenceLibrary/_layouts/15/Doc.aspx?sourcedoc=%7BA3FB3B4E-3395-4402-AC40-5F0568302046%7D&amp;file=IFS_BOUD%20to%20SAP.docx&amp;action=default&amp;mobileredirect=true&amp;DefaultItemOpen=1). Enables design stakeholders (schedulers, field leaders, close-out specialists, etc.) to access up-to-date SAP data (notifications, work orders, redlines) through BOUD[3](https://consumersenergy.sharepoint.com/sites/ITReferenceLibrary/_layouts/15/Doc.aspx?sourcedoc=%7BA3FB3B4E-3395-4402-AC40-5F0568302046%7D&amp;file=IFS_BOUD%20to%20SAP.docx&amp;action=default&amp;mobileredirect=true&amp;DefaultItemOpen=1)[3](https://consumersenergy.sharepoint.com/sites/ITReferenceLibrary/_layouts/15/Doc.aspx?sourcedoc=%7BA3FB3B4E-3395-4402-AC40-5F0568302046%7D&amp;file=IFS_BOUD%20to%20SAP.docx&amp;action=default&amp;mobileredirect=true&amp;DefaultItemOpen=1). Read-only integration with no transactional updates to SAP</t>
  </si>
  <si>
    <t>Bentley MICROSTATION</t>
  </si>
  <si>
    <t>MicroStation (legacy CAD platform) was used for design drafting but had no direct SAP integration. It was replaced by Bentley OpenUtilities solutions which provide integrated SAP interfaces[4](https://consumersenergy.sharepoint.com/sites/ITPMO/Projects/GISBasedDesignApps/_layouts/15/Doc.aspx?sourcedoc=%7BE0E94D21-6497-4C7F-B318-CB399798B8D5%7D&amp;file=BentleyOnsite20160823-JBL.PPTX&amp;action=edit&amp;mobileredirect=true&amp;DefaultItemOpen=1)[4](https://consumersenergy.sharepoint.com/sites/ITPMO/Projects/GISBasedDesignApps/_layouts/15/Doc.aspx?sourcedoc=%7BE0E94D21-6497-4C7F-B318-CB399798B8D5%7D&amp;file=BentleyOnsite20160823-JBL.PPTX&amp;action=edit&amp;mobileredirect=true&amp;DefaultItemOpen=1)</t>
  </si>
  <si>
    <t>Device Retirement &amp; Provisioning Interface (SAP ↔ OpenWay)</t>
  </si>
  <si>
    <t>Synchronizes meter lifecycle events between SAP IS-U and the Itron OpenWay head-end system. When a smart meter is installed, removed, or replaced in SAP (e.g. a meter retirement or activation), this interface ensures the action is automatically communicated to the OpenWay Collection Engine, updating the head-end’s device register so both systems maintain consistent meter statuses and configurations[5]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t>
  </si>
  <si>
    <t>https://consumersenergy.sharepoint.com/sites/ITReferenceLibrary/PJT05280.ESB.Upgrade.FS.Device.Retirement.docx</t>
  </si>
  <si>
    <t>Replaced prior manual daily meter change file transfers with near-real-time messaging via the enterprise service bus[5]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 Improves field operations by immediately reflecting meter removals and installations in the AMI head-end without manual intervention. Interface uses SAP PO to publish device configuration changes to OpenWay’s web services</t>
  </si>
  <si>
    <t>Remote Device Testing Interface (SAP → OpenWay)</t>
  </si>
  <si>
    <t>Enables SAP to remotely initiate meter diagnostic tests in the OpenWay system and receive the results. SAP (via the ESB/PO) sends a test request for a specific meter (e.g., to perform a ping or connect/disconnect operation), and OpenWay executes the test on the meter then returns the test outcome (success, failure, metrics) back to SAP for analysis and display[6](https://consumersenergy.sharepoint.com/sites/ICOE/_layouts/15/Doc.aspx?sourcedoc=%7B4ED097B6-4B78-4C31-B068-7731E549E5D4%7D&amp;file=PJT05280.ESB.Upgrade.FS.Device.Testing.docx&amp;action=default&amp;mobileredirect=true&amp;DefaultItemOpen=1)[7](https://consumersenergy.sharepoint.com/sites/ITReferenceLibrary/_layouts/15/Doc.aspx?sourcedoc=%7B1E7FA30E-462D-406D-AE10-3DC2FE20DA13%7D&amp;file=PJT05280.ESB.Upgrade.FS.Device.Testing.docx&amp;action=default&amp;mobileredirect=true&amp;DefaultItemOpen=1)</t>
  </si>
  <si>
    <t>https://consumersenergy.sharepoint.com/sites/ITReferenceLibrary/PJT05280.ESB.Upgrade.FS.Device.Testing.docx</t>
  </si>
  <si>
    <t>Real-time request/response service implemented via SAP PO. SAP’s request is transformed into OpenWay’s expected SOAP format and sent through a web service call[1](https://consumersenergy.sharepoint.com/sites/ITPMO/Projects/GISBasedDesignApps/_layouts/15/Doc.aspx?sourcedoc=%7B5B42BAAF-759C-4930-8AF1-B669AB27886D%7D&amp;file=CE%20Release%201%20-%20Administrator%20Training%20-%20WebService.pptx&amp;action=edit&amp;mobileredirect=true&amp;DefaultItemOpen=1)[6](https://consumersenergy.sharepoint.com/sites/ICOE/_layouts/15/Doc.aspx?sourcedoc=%7B4ED097B6-4B78-4C31-B068-7731E549E5D4%7D&amp;file=PJT05280.ESB.Upgrade.FS.Device.Testing.docx&amp;action=default&amp;mobileredirect=true&amp;DefaultItemOpen=1). The interface supports high-volume batch testing (e.g. ~150 meter tests in a batch) and ensures results (e.g. voltage readings, connectivity status) are posted back to SAP promptly for each meter tested[7](https://consumersenergy.sharepoint.com/sites/ITReferenceLibrary/_layouts/15/Doc.aspx?sourcedoc=%7B1E7FA30E-462D-406D-AE10-3DC2FE20DA13%7D&amp;file=PJT05280.ESB.Upgrade.FS.Device.Testing.docx&amp;action=default&amp;mobileredirect=true&amp;DefaultItemOpen=1)[6](https://consumersenergy.sharepoint.com/sites/ICOE/_layouts/15/Doc.aspx?sourcedoc=%7B4ED097B6-4B78-4C31-B068-7731E549E5D4%7D&amp;file=PJT05280.ESB.Upgrade.FS.Device.Testing.docx&amp;action=default&amp;mobileredirect=true&amp;DefaultItemOpen=1)</t>
  </si>
  <si>
    <t>Meter Read Data Exchange Interface (SAP ↔ OpenWay)</t>
  </si>
  <si>
    <t>Bi-directional interface for smart meter reading and control data between SAP and the OpenWay head-end. SAP (via Itron’s MDMS) sends scheduled or on-demand meter read requests to OpenWay, which then collects meter consumption and event data and returns it to SAP IS-U for billing (register reads, interval usage, outage/restoration or tamper events). Critical meter events can also be forwarded from OpenWay to SAP or other systems as needed[8](https://consumersenergy.sharepoint.com/sites/ITPMO/Projects/PJT18776/Shared%20Documents/03%20Define%20Phase/Smart%20Energy%20and%20Gas%20AMR%20Integration%20Architecture%20Model.pdf?web=1)[8](https://consumersenergy.sharepoint.com/sites/ITPMO/Projects/PJT18776/Shared%20Documents/03%20Define%20Phase/Smart%20Energy%20and%20Gas%20AMR%20Integration%20Architecture%20Model.pdf?web=1)</t>
  </si>
  <si>
    <t>https://consumersenergy.sharepoint.com/sites/ITReferenceLibrary/ESB.Architecture.Integration.Model.pdf, https://consumersenergy.sharepoint.com/sites/ITReferenceLibrary/PJT05280.ESB.Upgrade.TS.OpenWay.Job.Service.docx</t>
  </si>
  <si>
    <t>Integration uses SAP PI/PO and the enterprise ESB (TIBCO) in a hybrid push-pull model. Meter read requests are often initiated by SAP’s Meter Data Management (IEE MDMS) and relayed via ESB to OpenWay, while read results are posted back through PO for automatic billing in SAP[8](https://consumersenergy.sharepoint.com/sites/ITPMO/Projects/PJT18776/Shared%20Documents/03%20Define%20Phase/Smart%20Energy%20and%20Gas%20AMR%20Integration%20Architecture%20Model.pdf?web=1)[8](https://consumersenergy.sharepoint.com/sites/ITPMO/Projects/PJT18776/Shared%20Documents/03%20Define%20Phase/Smart%20Energy%20and%20Gas%20AMR%20Integration%20Architecture%20Model.pdf?web=1). The interface originally used JMS queues and SOAP services; later, certain high-frequency event messages (e.g. momentary outages) were routed directly to downstream analytics (Grid Director) rather than SAP[8](https://consumersenergy.sharepoint.com/sites/ITPMO/Projects/PJT18776/Shared%20Documents/03%20Define%20Phase/Smart%20Energy%20and%20Gas%20AMR%20Integration%20Architecture%20Model.pdf?web=1)[9](https://consumersenergy.sharepoint.com/sites/ITReferenceLibrary/References/ESB.Architecture.Integration.Model.pdf?web=1)</t>
  </si>
  <si>
    <t>Itron’s Field Collection System (for handheld/drive-by meter reads) does not directly interface with SAP. Legacy integration was accomplished via Itron’s MDM (IEE) and FieldNet; FCS itself has no standalone SAP interface[10](https://consumersenergy.sharepoint.com/sites/btsqa/_layouts/15/Doc.aspx?sourcedoc=%7BF76BE9DE-83F3-4A84-A1F4-9FF3800AF8AE%7D&amp;file=PJT19383_Itron%20Field%20Collection%20Systems%20%28FCS%29%20Upgrade_Test%20Plan.docx&amp;action=default&amp;mobileredirect=true&amp;DefaultItemOpen=1)[9](https://consumersenergy.sharepoint.com/sites/ITReferenceLibrary/References/ESB.Architecture.Integration.Model.pdf?web=1)</t>
  </si>
  <si>
    <t>OpenWay FieldPro</t>
  </si>
  <si>
    <t>OpenWay Field-Pro is a mobile workforce tool for field data collection with no direct SAP integration documented. Field data flows through the OpenWay head-end or IEE MDM; there are no direct interfaces from the Field-Pro application to SAP in CE’s records</t>
  </si>
  <si>
    <t>MV-90 Interval Data Upload Interface</t>
  </si>
  <si>
    <t>Automated batch upload of interval meter readings from the MV-90 metering system into SAP’s Energy Data Management (EDM) for billing. The MV-90 system produces files of interval consumption data (e.g. 15-minute kWh and kVAR readings for large customers), which SAP loads to populate register consumption profiles, enabling billing of time-of-use and demand-based customers using MV-90 data[5]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t>
  </si>
  <si>
    <t>https://consumersenergy.sharepoint.com/sites/ITReferenceLibrary/CCS.DM.PP6.DM_INT_040%20MV-90%20Interface.doc, https://consumersenergy.sharepoint.com/sites/ITReferenceLibrary/CCS.DM.PP6.DM_INT_040%20MV-90%20Interface-8D3CB786DC0A4BE.doc</t>
  </si>
  <si>
    <t>An MV-90 extract (text file) is placed on a designated server and retrieved by SAP on a scheduled basis (e.g., daily). The interface uses SAP PI to parse and post the data via IDoc into IS-U[5]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 It supports both new interval data and re-uploads (“RU” records) for corrected data; SAP automatically updates billing determinants (and triggers rebilling if needed) when re-uploaded data is received[5]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 MV-90 channels (e.g. kWh, kVAR) are mapped to SAP profile values, preserving interval history through meter exchanges</t>
  </si>
  <si>
    <t>ARCOS Payroll Hours Interface</t>
  </si>
  <si>
    <t>Weekly transfer of employee overtime hours from SAP HR to the ARCOS call-out management system. After each payroll processing cycle, SAP compiles a file listing employees’ straight-time equivalent hours (especially extra/overtime hours) and places it for pickup by ARCOS, which ingests these hours to fairly manage crew call-out rotations and equalization of overtime[5]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t>
  </si>
  <si>
    <t>https://consumersenergy.sharepoint.com/sites/ITReferenceLibrary/ERP.HR.PP6_HR%20INT%20460_ARCOS%20new.doc</t>
  </si>
  <si>
    <t>Runs automatically at the end of each bi-weekly pay period. The output is a structured text file (encrypted for security) containing employee identifiers and cumulative overtime hours[5](https://consumersenergy.sharepoint.com/sites/namrexport/_layouts/15/Doc.aspx?sourcedoc=%7B70F8E817-0B88-4BB6-889C-336FF1A27ECC%7D&amp;file=CCS.DM.INT.DM_INT_035%20Neptune%20Download.doc&amp;action=default&amp;mobileredirect=true&amp;DefaultItemOpen=1). ARCOS uses the data to update its overtime records. Errors (e.g., unknown employee IDs) are reported back to HR for correction via automated email. Known internally as interface HR-INT-460 (ZHRPYO_ARCOS)[5]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t>
  </si>
  <si>
    <t>No references were found linking the Gas CONstruction Property Restoration tool (an internal/ESRI-based application) to any SAP integration. It appears to operate independently without exchanging data with SAP systems</t>
  </si>
  <si>
    <t>SAP Project Data Extract Interface</t>
  </si>
  <si>
    <t>Provides Bentley ProjectWise (engineering content management) with key project and WBS information from SAP. A nightly ETL job (using SAP Data Services/BODS) extracts project definitions and WBS metadata from SAP (PROJ table) and loads it into a staging table in a SQL database accessible by ProjectWise[11](https://consumersenergy.sharepoint.com/sites/ITPMO/Projects/PJT12070/_layouts/15/Doc.aspx?sourcedoc=%7B0E853F2F-CF9E-461C-BB4A-79578672B17C%7D&amp;file=PJT12070%20-%20ECM-ProjectWise%20Solution%20Design%20Document_Bentley.docx&amp;action=default&amp;mobileredirect=true&amp;DefaultItemOpen=1)[11](https://consumersenergy.sharepoint.com/sites/ITPMO/Projects/PJT12070/_layouts/15/Doc.aspx?sourcedoc=%7B0E853F2F-CF9E-461C-BB4A-79578672B17C%7D&amp;file=PJT12070%20-%20ECM-ProjectWise%20Solution%20Design%20Document_Bentley.docx&amp;action=default&amp;mobileredirect=true&amp;DefaultItemOpen=1). This allows ProjectWise to link and organize design documents by SAP project structure and attributes (project IDs, descriptions, responsible persons, dates, etc.)</t>
  </si>
  <si>
    <t>https://consumersenergy.sharepoint.com/sites/ITReferenceLibrary/IFS_ECM_ProjectWise_PJT12070.docx</t>
  </si>
  <si>
    <t>Runs as a daily batch (overnight). The data flow is one-way (SAP → ProjectWise); no updates are sent back to SAP. Ensures that as new projects and WBS elements are created or updated in SAP, they are available for reference in ProjectWise by the next day[11](https://consumersenergy.sharepoint.com/sites/ITPMO/Projects/PJT12070/_layouts/15/Doc.aspx?sourcedoc=%7B0E853F2F-CF9E-461C-BB4A-79578672B17C%7D&amp;file=PJT12070%20-%20ECM-ProjectWise%20Solution%20Design%20Document_Bentley.docx&amp;action=default&amp;mobileredirect=true&amp;DefaultItemOpen=1)[11](https://consumersenergy.sharepoint.com/sites/ITPMO/Projects/PJT12070/_layouts/15/Doc.aspx?sourcedoc=%7B0E853F2F-CF9E-461C-BB4A-79578672B17C%7D&amp;file=PJT12070%20-%20ECM-ProjectWise%20Solution%20Design%20Document_Bentley.docx&amp;action=default&amp;mobileredirect=true&amp;DefaultItemOpen=1). Uses a read-only SQL table for ProjectWise queries, avoiding performance impacts on the SAP source</t>
  </si>
  <si>
    <t>SAP–ProjectWise Change Synchronization (planned)</t>
  </si>
  <si>
    <t>(In development) Automates bi-directional updates between SAP and ProjectWise for project-related records. For example, if a project description or status is changed in SAP, the update would propagate to the linked ProjectWise project folder; likewise, if a document status or metadata is updated in ProjectWise, the change would reflect on the related SAP work order or notification. This is intended to maintain consistency without manual dual entry, especially during project execution and close-out</t>
  </si>
  <si>
    <t>A future enhancement noted in internal communications (e.g. Distribution Engineering newsletter). As of latest updates, the SAP–ProjectWise integration beyond the project data extract is still under development, with requirements being gathered and additional support needed from the vendor (Bentley) to implement event-driven sync. No formal technical documentation is available yet. Integration type likely API-based, but exact mechanism is TBD</t>
  </si>
  <si>
    <t>EWN (Energy World Net) is used for operator qualification and compliance training. CE internal documentation shows no direct interface between EWN and SAP; training records from EWN are not automatically fed into SAP HR or LMS via any documented interface</t>
  </si>
  <si>
    <t>Device Master Data Interface (SAP → Itron IEE)</t>
  </si>
  <si>
    <t>Automatically creates and updates meter and service point master records in Itron’s IEE Meter Data Management System based on SAP IS-U data. When a new AMI meter is installed or a device configuration is changed in SAP, an XML master data file is generated and dropped to a secure folder. The MDMS (IEE) imports this to establish or update the meter device and its relationship to the service point in IEE, mirroring the SAP device installation records[5]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t>
  </si>
  <si>
    <t>https://consumersenergy.sharepoint.com/sites/ITReferenceLibrary/Smart%20Energy%20MDM%20(Meter%20Data%20Management)_Runbook.docx</t>
  </si>
  <si>
    <t>Uses batch file transfers (typically XML). SAP serves as system of record for meter and premise data, and IEE polls the designated “SapExport” directory for new files, processing them into its database[5]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 After processing, IEE moves files to “submitted” or “error” subfolders. This interface ensures the MDMS has up-to-date meter attributes (serial numbers, install/removal dates, customer linkage) without manual entry</t>
  </si>
  <si>
    <t>Bulk Meter Read Request/Response Interface (SAP ↔ Itron IEE)</t>
  </si>
  <si>
    <t>Handles scheduled batch meter reading processes between SAP IS-U and the Itron IEE MDMS. For each scheduled meter reading cycle, SAP exports a file (via SAP’s Meter Reading Unit) listing meters to be read. IEE retrieves this request, coordinates the collection of meter reads from the AMI network (via OpenWay head-end), then compiles the metering results into a response file, which SAP imports to post consumption values for billing[5](https://consumersenergy.sharepoint.com/sites/namrexport/_layouts/15/Doc.aspx?sourcedoc=%7B70F8E817-0B88-4BB6-889C-336FF1A27ECC%7D&amp;file=CCS.DM.INT.DM_INT_035%20Neptune%20Download.doc&amp;action=default&amp;mobileredirect=true&amp;DefaultItemOpen=1)[12](https://consumersenergy.sharepoint.com/sites/namrexport/_layouts/15/Doc.aspx?sourcedoc=%7B664282BE-77A6-4D8A-8D0F-DCAB9CC15CB3%7D&amp;file=CCS.DM.PP4%20B-020-010%20Upload%20Meter%20Reads-8D3CB4F46C07D54.doc&amp;action=default&amp;mobileredirect=true&amp;DefaultItemOpen=1)</t>
  </si>
  <si>
    <t>The integration uses secure file drop locations for request and result files. SAP’s scheduling job places meter read requests (including on-demand read commands) into IEE’s inbound folder, and IEE deposits the read results in an outbox for SAP to consume[5](https://consumersenergy.sharepoint.com/sites/namrexport/_layouts/15/Doc.aspx?sourcedoc=%7B70F8E817-0B88-4BB6-889C-336FF1A27ECC%7D&amp;file=CCS.DM.INT.DM_INT_035%20Neptune%20Download.doc&amp;action=default&amp;mobileredirect=true&amp;DefaultItemOpen=1)[12](https://consumersenergy.sharepoint.com/sites/namrexport/_layouts/15/Doc.aspx?sourcedoc=%7B664282BE-77A6-4D8A-8D0F-DCAB9CC15CB3%7D&amp;file=CCS.DM.PP4%20B-020-010%20Upload%20Meter%20Reads-8D3CB4F46C07D54.doc&amp;action=default&amp;mobileredirect=true&amp;DefaultItemOpen=1). Ensures timely billing reads (e.g., midnight register reads on billing day) and supports automatic completion of scheduled meter reading orders. Failed or missing reads are handled per MDMS exception processes and can trigger subsequent retries or estimates</t>
  </si>
  <si>
    <t>SNAP (Radian Research’s meter calibration and testing platform) has no direct interface with SAP in CE’s documentation. Test results and reports from SNAP are likely reviewed externally and manually entered into SAP (e.g., as inspection results) if needed. No automated data exchange with SAP is documented</t>
  </si>
  <si>
    <t>CopperLeaf (asset investment planning tool) does not have a documented integration with SAP. Capital planning data from CopperLeaf (such as project recommendations or budgets) may be exported and manually input into SAP (e.g., for budgeting or portfolio management), but no direct system interface is evidenced in CE’s internal sources</t>
  </si>
  <si>
    <t>Meter Reading Orders and Results Interface (SAP ↔ FieldNet)</t>
  </si>
  <si>
    <t>Enables two-way exchange of meter reading data between SAP IS-U and the FieldNet (Clevest) meter reading system. Prior to smart meters, SAP would produce daily meter reading orders (routes) in a structured file which FieldNet handheld devices used to collect manual reads. After meter readers completed their routes, FieldNet generated an upload file with the readings (and any meter/field status codes) which SAP imported to update consumption and billing records[13](https://consumersenergy.sharepoint.com/sites/namrexport/_layouts/15/Doc.aspx?sourcedoc=%7B3299BE9B-D7BC-4870-86C8-CC8978FA639F%7D&amp;file=CCS.DM.INT.DM_INT_035%20Neptune%20Download-8D3CB43C23FF51A.doc&amp;action=default&amp;mobileredirect=true&amp;DefaultItemOpen=1)[5](https://consumersenergy.sharepoint.com/sites/namrexport/_layouts/15/Doc.aspx?sourcedoc=%7B70F8E817-0B88-4BB6-889C-336FF1A27ECC%7D&amp;file=CCS.DM.INT.DM_INT_035%20Neptune%20Download.doc&amp;action=default&amp;mobileredirect=true&amp;DefaultItemOpen=1)</t>
  </si>
  <si>
    <t>https://consumersenergy.sharepoint.com/sites/ITReferenceLibrary/CCS.DM.PP6.DM_INT_035%20Neptune%20Download-8D3CB43C23FF51A.doc, https://consumersenergy.sharepoint.com/sites/ITReferenceLibrary/CCS.DM.PP6.FO_INT_030%20Fieldnet%20Upload-8D3CBE848FC6FEE.doc</t>
  </si>
  <si>
    <t>Often referred to by legacy names “Neptune Download” (DM_INT_035) for the outbound file and “FieldNet Upload” (FO_INT_030) for the return file[5](https://consumersenergy.sharepoint.com/sites/namrexport/_layouts/15/Doc.aspx?sourcedoc=%7B70F8E817-0B88-4BB6-889C-336FF1A27ECC%7D&amp;file=CCS.DM.INT.DM_INT_035%20Neptune%20Download.doc&amp;action=default&amp;mobileredirect=true&amp;DefaultItemOpen=1)[5](https://consumersenergy.sharepoint.com/sites/namrexport/_layouts/15/Doc.aspx?sourcedoc=%7B70F8E817-0B88-4BB6-889C-336FF1A27ECC%7D&amp;file=CCS.DM.INT.DM_INT_035%20Neptune%20Download.doc&amp;action=default&amp;mobileredirect=true&amp;DefaultItemOpen=1). Implemented via nightly batch jobs using BizTalk for file transfer. The download file contained route headers (H records), customer/meters (A/B records), and optional survey/inspection prompts (S records)[13](https://consumersenergy.sharepoint.com/sites/namrexport/_layouts/15/Doc.aspx?sourcedoc=%7B3299BE9B-D7BC-4870-86C8-CC8978FA639F%7D&amp;file=CCS.DM.INT.DM_INT_035%20Neptune%20Download-8D3CB43C23FF51A.doc&amp;action=default&amp;mobileredirect=true&amp;DefaultItemOpen=1). The upload file provided meter readings, statuses, and remarks, which SAP posted to the respective meter reading orders. This interface was phased out as AMI systems (OpenWay/IEE) replaced manual reads</t>
  </si>
  <si>
    <t>“PI GAS AMR” appears to refer to a PI (OSIsoft) historian for gas interval data or an automated meter reading system for gas. CE documentation does not show any direct integration to SAP from this system. Gas consumption data is handled via Itron’s MDMS and MV-90 for large meters, and any PI usage is likely for analytics, with no specialized SAP interface identified</t>
  </si>
  <si>
    <t>Work Orders &amp; Equipment Export (SAP → eSOMS)</t>
  </si>
  <si>
    <t>Regular file-based transfer of work management data from SAP to Hitachi eSOMS (Electronic Shift Operations Management System) to support shift turnover, clearance (tagout) management, and operations logging. SAP PM generates two text files on a schedule: one containing active work order details (with fields like order number, description, status, and equipment ID) and another listing relevant equipment master data (equipment IDs, descriptions, functional locations, etc.). These files are delivered to the eSOMS server, which imports them so that operators can see current SAP work orders and equipment information in eSOMS for tagging and tracking purposes[14](https://consumersenergy.sharepoint.com/sites/namrexport/_layouts/15/Doc.aspx?sourcedoc=%7BEAFA5E96-5C65-412A-9BB9-0B09135467A5%7D&amp;file=CCS.DM.PP4%20B-020-010%20Upload%20Meter%20Reads_APPROVED-8D3CB4F68A94F5E.doc&amp;action=default&amp;mobileredirect=true&amp;DefaultItemOpen=1)[14](https://consumersenergy.sharepoint.com/sites/namrexport/_layouts/15/Doc.aspx?sourcedoc=%7BEAFA5E96-5C65-412A-9BB9-0B09135467A5%7D&amp;file=CCS.DM.PP4%20B-020-010%20Upload%20Meter%20Reads_APPROVED-8D3CB4F68A94F5E.doc&amp;action=default&amp;mobileredirect=true&amp;DefaultItemOpen=1)</t>
  </si>
  <si>
    <t>https://consumersenergy.sharepoint.com/sites/ITReferenceLibrary/eSOMS%20-%20Electronic%20Shift%20Operations%20Management_Runbook.docx</t>
  </si>
  <si>
    <t>Implemented via scheduled SAP batch jobs and file transfers (previously using BizTalk). Typically runs 2–3 times daily. Each run places new/updated work orders (for upcoming shifts or outstanding work) and their associated equipment records onto eSOMS’s intake directories[14](https://consumersenergy.sharepoint.com/sites/namrexport/_layouts/15/Doc.aspx?sourcedoc=%7BEAFA5E96-5C65-412A-9BB9-0B09135467A5%7D&amp;file=CCS.DM.PP4%20B-020-010%20Upload%20Meter%20Reads_APPROVED-8D3CB4F68A94F5E.doc&amp;action=default&amp;mobileredirect=true&amp;DefaultItemOpen=1). eSOMS, via its own scheduled tasks, processes these files by inserting/updating its local database. No feedback loop to SAP (e.g., eSOMS does not write back status updates via this interface). This one-way sync ensures eSOMS has near real-time data on work to be executed and the assets involved for safety management</t>
  </si>
  <si>
    <t>eSOMS–SAP WAM Equipment Sync</t>
  </si>
  <si>
    <t>(Same as above) Provides eSOMS with up-to-date lists of equipment and associated Work Orders from SAP Work Asset Management (WAM). It is effectively the combination of the Work Orders file and Equipment file interfaces described for Hitachi eSOMS. These interfaces ensure that when a work order is created or updated in SAP, or new equipment is added to SAP’s asset register, eSOMS receives the information to maintain an aligned data set for operational safety processes[14](https://consumersenergy.sharepoint.com/sites/namrexport/_layouts/15/Doc.aspx?sourcedoc=%7BEAFA5E96-5C65-412A-9BB9-0B09135467A5%7D&amp;file=CCS.DM.PP4%20B-020-010%20Upload%20Meter%20Reads_APPROVED-8D3CB4F68A94F5E.doc&amp;action=default&amp;mobileredirect=true&amp;DefaultItemOpen=1)[14](https://consumersenergy.sharepoint.com/sites/namrexport/_layouts/15/Doc.aspx?sourcedoc=%7BEAFA5E96-5C65-412A-9BB9-0B09135467A5%7D&amp;file=CCS.DM.PP4%20B-020-010%20Upload%20Meter%20Reads_APPROVED-8D3CB4F68A94F5E.doc&amp;action=default&amp;mobileredirect=true&amp;DefaultItemOpen=1)</t>
  </si>
  <si>
    <t>Not a separate interface per se, but rather the collective term for the SAP-eSOMS file transfers. Often referred to as the “WAM–eSOMS integration,” covering both the equipment master and work order exports[14](https://consumersenergy.sharepoint.com/sites/namrexport/_layouts/15/Doc.aspx?sourcedoc=%7BEAFA5E96-5C65-412A-9BB9-0B09135467A5%7D&amp;file=CCS.DM.PP4%20B-020-010%20Upload%20Meter%20Reads_APPROVED-8D3CB4F68A94F5E.doc&amp;action=default&amp;mobileredirect=true&amp;DefaultItemOpen=1). Legacy documentation sometimes calls this the “OMAR” interface (Operations Management and Reliability) but it is functionally the same file-based data feed. The interface is one-directional (SAP to eSOMS), with eSOMS data (like clearance status) not looping back into SAP via an automated interface</t>
  </si>
  <si>
    <t>See “IEE — Smart Meter data Integration” above</t>
  </si>
  <si>
    <t>See integrated interfaces under “Smart Meter data Integration” (the Itron IEE MDM is the system of record for meter data)</t>
  </si>
  <si>
    <t>The Itron Enterprise Edition (IEE) Meter Data Management system is the same platform referenced as “Smart Meter data Integration.” All identified SAP interfaces for this system – meter master synchronization and meter reading exchanges – are documented under that entry. No additional distinct SAP integrations for “MDM IEE” exist beyond those already listed</t>
  </si>
  <si>
    <t>“MVLTxi” does not appear in CE’s integration documents. It may refer to a component or version of MV-90 or a related tool. Any meter data collected via MVLTxi would be integrated through the main MV-90 to SAP interface. No separate SAP interface under this name is documented</t>
  </si>
  <si>
    <t>Oracle Analytics/BI Publisher is a reporting tool that can use data from various sources (including SAP’s BW or HANA via queries), but CE documentation shows no direct custom interface between BI Publisher and SAP. Reports are likely generated either from data warehouses or via standard SAP reporting connectors, not a bespoke integration</t>
  </si>
  <si>
    <t>See “Oracle Analytics Publisher” above – Oracle BI Publisher (another name for Oracle’s reporting solution) does not directly interface with SAP ECC in any custom way documented at CE. It may connect through standard ODBC/JDBC to SAP’s database or use existing data models, but no custom integration was found</t>
  </si>
  <si>
    <t>Oracle Primavera Unifier (capital project lifecycle management) has no documented integration with SAP at CE. Project cost data or forecasts from Unifier are likely reviewed by project managers and manually entered into SAP’s Project Systems or financial modules if needed. No automated interface is mentioned in the allowed sources</t>
  </si>
  <si>
    <t>Primavera–SAP Project Sync (Trinovis Impress)</t>
  </si>
  <si>
    <t>Coordinates project schedule and WBS updates between Oracle Primavera P6 and SAP PS using Trinovis’s Impress integration solution. Impress monitors changes in one system and propagates them to the other: for instance, a new or changed activity in SAP (Work Order or Network activity) can be created/updated in P6, and vice versa, ensuring both systems have a consistent project timeline and structure. This supports bi-directional alignment of project plans and execution data between SAP and Primavera[5](https://consumersenergy.sharepoint.com/sites/namrexport/_layouts/15/Doc.aspx?sourcedoc=%7B70F8E817-0B88-4BB6-889C-336FF1A27ECC%7D&amp;file=CCS.DM.INT.DM_INT_035%20Neptune%20Download.doc&amp;action=default&amp;mobileredirect=true&amp;DefaultItemOpen=1)[15](https://consumersenergy.sharepoint.com/sites/namrexport/_layouts/15/Doc.aspx?sourcedoc=%7B2E0E2F45-9031-4A06-BE8F-B00151826D8D%7D&amp;file=DDD%20Neptune%20-8D3D6FC94830B8E.doc&amp;action=default&amp;mobileredirect=true&amp;DefaultItemOpen=1)</t>
  </si>
  <si>
    <t>https://consumersenergy.sharepoint.com/sites/ITReferenceLibrary/Impress%20Rubbook.docx</t>
  </si>
  <si>
    <t>Impress connects to SAP via standard BAPIs/APIs (leveraging SAP credentials configured in Impress)[16](https://consumersenergy.sharepoint.com/sites/ITPMO/Projects/GISBasedDesignApps/_layouts/15/Doc.aspx?sourcedoc=%7B901C33F5-18B5-4A63-96E6-110F51E2090D%7D&amp;file=SAP_Interface_V02.pptx&amp;action=edit&amp;mobileredirect=true&amp;DefaultItemOpen=1). It can operate in different modes: “All from SAP” (one-way from SAP to P6) or “round-trip” (two-way sync) depending on configuration[16](https://consumersenergy.sharepoint.com/sites/ITPMO/Projects/GISBasedDesignApps/_layouts/15/Doc.aspx?sourcedoc=%7B901C33F5-18B5-4A63-96E6-110F51E2090D%7D&amp;file=SAP_Interface_V02.pptx&amp;action=edit&amp;mobileredirect=true&amp;DefaultItemOpen=1). The integration typically runs as scheduled synchronization jobs or on-demand triggers within the Impress application, rather than as real-time updates. Detailed runbook procedures exist for handling errors, re-synchronization, and user role mapping between systems</t>
  </si>
  <si>
    <t>See “FieldNet Meter Reading System” above</t>
  </si>
  <si>
    <t>“FMRS” (Field Mobile Reading System) is the underlying product for FieldNet; SAP interfaces for meter read orders/results are described under FieldNet</t>
  </si>
  <si>
    <t>Clevest FMRS was the software behind Consumers Energy’s FieldNet. The integration with SAP is identical to the FieldNet interfaces already listed (outbound download of meter read orders and inbound upload of results). No additional interfaces beyond those were identified</t>
  </si>
  <si>
    <t>OMS–SAP Outage Order Interface (“OMAR”)</t>
  </si>
  <si>
    <t>Automates the creation and updates of outage-related work in SAP based on the Advanced Distribution Management System (OMS) events. When the ADMS (which includes an Outage Management System) detects a power outage or an outage restoration, it communicates with SAP via web services (through SAP PI) to create or update a service notification and/or work order in SAP for the outage. As crews are dispatched and statuses change in SAP (e.g., repair started, power restored), the interface sends updates back to the ADMS so that operators have real-time status of field work[14](https://consumersenergy.sharepoint.com/sites/namrexport/_layouts/15/Doc.aspx?sourcedoc=%7BEAFA5E96-5C65-412A-9BB9-0B09135467A5%7D&amp;file=CCS.DM.PP4%20B-020-010%20Upload%20Meter%20Reads_APPROVED-8D3CB4F68A94F5E.doc&amp;action=default&amp;mobileredirect=true&amp;DefaultItemOpen=1)[14](https://consumersenergy.sharepoint.com/sites/namrexport/_layouts/15/Doc.aspx?sourcedoc=%7BEAFA5E96-5C65-412A-9BB9-0B09135467A5%7D&amp;file=CCS.DM.PP4%20B-020-010%20Upload%20Meter%20Reads_APPROVED-8D3CB4F68A94F5E.doc&amp;action=default&amp;mobileredirect=true&amp;DefaultItemOpen=1)</t>
  </si>
  <si>
    <t>https://consumersenergy.sharepoint.com/sites/ITReferenceLibrary/WAM-SAP%20OMAR%20Interface%20Functionality_System%20Overview%20Document.docx, https://consumersenergy.sharepoint.com/sites/ITReferenceLibrary/WAM-SAP%20PM_SystemOverviewDocument.docx</t>
  </si>
  <si>
    <r>
      <t xml:space="preserve">The integration is implemented via SOAP web services orchestrated by SAP PI, commonly known as the OMAR (Outage Management and Restoration) interface. It consists of multiple service calls: e.g., SAP receives outage info from ADMS to create notifications (often using proxy IDocs like </t>
    </r>
    <r>
      <rPr>
        <sz val="10"/>
        <color theme="1"/>
        <rFont val="Arial Unicode MS"/>
      </rPr>
      <t>FO_INT_330_A</t>
    </r>
    <r>
      <rPr>
        <sz val="11"/>
        <color theme="1"/>
        <rFont val="Segoe UI"/>
        <family val="2"/>
      </rPr>
      <t>), and sends back completion status when crews finish repairs[14](https://consumersenergy.sharepoint.com/sites/namrexport/_layouts/15/Doc.aspx?sourcedoc=%7BEAFA5E96-5C65-412A-9BB9-0B09135467A5%7D&amp;file=CCS.DM.PP4%20B-020-010%20Upload%20Meter%20Reads_APPROVED-8D3CB4F68A94F5E.doc&amp;action=default&amp;mobileredirect=true&amp;DefaultItemOpen=1)[14](https://consumersenergy.sharepoint.com/sites/namrexport/_layouts/15/Doc.aspx?sourcedoc=%7BEAFA5E96-5C65-412A-9BB9-0B09135467A5%7D&amp;file=CCS.DM.PP4%20B-020-010%20Upload%20Meter%20Reads_APPROVED-8D3CB4F68A94F5E.doc&amp;action=default&amp;mobileredirect=true&amp;DefaultItemOpen=1). It ensures alignment between ADMS and SAP WAM: ADMS is the master for outage events, while SAP is the system of record for field crew dispatch and work completion. Together with related interfaces (for device status, customer calls, etc.), it forms the ADMS–SAP integration suite</t>
    </r>
  </si>
  <si>
    <t>See “AspenTech (OSII) — ADMS” above</t>
  </si>
  <si>
    <t>The Distribution Management System (DMS) within ADMS employs the same OMS–SAP Outage interface described for ADMS. No separate interface beyond the outage work order/notification integration is documented</t>
  </si>
  <si>
    <t>The ADMS’s DMS module shares the OMS integration with SAP; it monitors and controls the network but does not add new SAP interface requirements outside those of outage management (OMS). Thus, the DMS does not have an independent SAP interface; it relies on the OMS (ADMS) to coordinate with SAP WAM</t>
  </si>
  <si>
    <t>The Outage Management System (OMS) component of ADMS is integrated with SAP via the OMS–SAP Outage Order (OMAR) Interface, as described under ADMS</t>
  </si>
  <si>
    <t>ADMS’s OMS uses the same integration path to SAP (to create/close outage orders) already outlined. No additional SAP interfaces specific to “ADMS OMS” were identified beyond the OMAR interface</t>
  </si>
  <si>
    <t>GIS Notification/Work Order Creation Interface (Gas)</t>
  </si>
  <si>
    <t>Allows gas network engineers to initiate SAP maintenance notifications or work orders directly from the GIS map. From the ArcGIS gas network viewer, a user can select a gas asset (e.g., a pipeline or valve) and trigger an action that calls an SAP web service (via SAP XI/PI) to create a PM Notification or Work Order for that asset. The SAP notification includes location details (like Township-Range-Section coordinates) and equipment/functional location IDs taken from the GIS, which helps link the GIS feature to the SAP maintenance record[14](https://consumersenergy.sharepoint.com/sites/namrexport/_layouts/15/Doc.aspx?sourcedoc=%7BEAFA5E96-5C65-412A-9BB9-0B09135467A5%7D&amp;file=CCS.DM.PP4%20B-020-010%20Upload%20Meter%20Reads_APPROVED-8D3CB4F68A94F5E.doc&amp;action=default&amp;mobileredirect=true&amp;DefaultItemOpen=1)[13](https://consumersenergy.sharepoint.com/sites/namrexport/_layouts/15/Doc.aspx?sourcedoc=%7B3299BE9B-D7BC-4870-86C8-CC8978FA639F%7D&amp;file=CCS.DM.INT.DM_INT_035%20Neptune%20Download-8D3CB43C23FF51A.doc&amp;action=default&amp;mobileredirect=true&amp;DefaultItemOpen=1)</t>
  </si>
  <si>
    <t>https://consumersenergy.sharepoint.com/sites/ITReferenceLibrary/PP6%20EAM_INT_045.6%20Electric%20GIS%20SAP%20Spatial%20Display%20GIS%20rev4.0-final%20for%20delivery%20review.doc, https://consumersenergy.sharepoint.com/sites/ITReferenceLibrary/SAP%20GIS%20Integration%20using%20XI.pdf</t>
  </si>
  <si>
    <t>This integration was implemented using SAP XI (Exchange Infrastructure) around 2006 as part of the “Spatial Display GIS” project[14](https://consumersenergy.sharepoint.com/sites/namrexport/_layouts/15/Doc.aspx?sourcedoc=%7BEAFA5E96-5C65-412A-9BB9-0B09135467A5%7D&amp;file=CCS.DM.PP4%20B-020-010%20Upload%20Meter%20Reads_APPROVED-8D3CB4F68A94F5E.doc&amp;action=default&amp;mobileredirect=true&amp;DefaultItemOpen=1)[14](https://consumersenergy.sharepoint.com/sites/namrexport/_layouts/15/Doc.aspx?sourcedoc=%7BEAFA5E96-5C65-412A-9BB9-0B09135467A5%7D&amp;file=CCS.DM.PP4%20B-020-010%20Upload%20Meter%20Reads_APPROVED-8D3CB4F68A94F5E.doc&amp;action=default&amp;mobileredirect=true&amp;DefaultItemOpen=1). The ArcGIS front-end communicates with SAP via a web service call, passing in the asset identifier (from GIS) and user input (notification type, priority, etc.). SAP then creates the notification/work order and returns the new number, which can be displayed to the GIS user. Electric and Gas GIS used analogous interfaces, each tailored to their specific asset types, but both falling under the SAP–GIS integration framework[14](https://consumersenergy.sharepoint.com/sites/namrexport/_layouts/15/Doc.aspx?sourcedoc=%7BEAFA5E96-5C65-412A-9BB9-0B09135467A5%7D&amp;file=CCS.DM.PP4%20B-020-010%20Upload%20Meter%20Reads_APPROVED-8D3CB4F68A94F5E.doc&amp;action=default&amp;mobileredirect=true&amp;DefaultItemOpen=1)[14](https://consumersenergy.sharepoint.com/sites/namrexport/_layouts/15/Doc.aspx?sourcedoc=%7BEAFA5E96-5C65-412A-9BB9-0B09135467A5%7D&amp;file=CCS.DM.PP4%20B-020-010%20Upload%20Meter%20Reads_APPROVED-8D3CB4F68A94F5E.doc&amp;action=default&amp;mobileredirect=true&amp;DefaultItemOpen=1)</t>
  </si>
  <si>
    <t>“Landbase GIS” refers to base mapping data (e.g., parcels, streets) used by various applications. CE’s internal sources do not list a dedicated SAP interface for Landbase GIS, as it primarily feeds other systems (like GIS and design tools) rather than interacting with SAP directly</t>
  </si>
  <si>
    <t>Work Order Geospatial Sync Interface</t>
  </si>
  <si>
    <t>Shares SAP work order and asset status information with the ArcGIS platform to enable geospatial visualization of work. A custom integration publishes SAP work orders (including their location, status, and scheduled dates) to an ArcGIS feature service or database. This allows mapping applications to display live layers of work-in-progress (e.g., showing locations of planned digs or repairs on a map). Conversely, certain spatial attributes (like precise GIS coordinates) could be sent from GIS to SAP to enhance work order data[16](https://consumersenergy.sharepoint.com/sites/ITPMO/Projects/GISBasedDesignApps/_layouts/15/Doc.aspx?sourcedoc=%7B901C33F5-18B5-4A63-96E6-110F51E2090D%7D&amp;file=SAP_Interface_V02.pptx&amp;action=edit&amp;mobileredirect=true&amp;DefaultItemOpen=1)[16](https://consumersenergy.sharepoint.com/sites/ITPMO/Projects/GISBasedDesignApps/_layouts/15/Doc.aspx?sourcedoc=%7B901C33F5-18B5-4A63-96E6-110F51E2090D%7D&amp;file=SAP_Interface_V02.pptx&amp;action=edit&amp;mobileredirect=true&amp;DefaultItemOpen=1)</t>
  </si>
  <si>
    <t>https://consumersenergy.sharepoint.com/teams/GeospatialPlatform/Shared%20Documents/Tech%20Design/Technical%20Design%20Specification_Workshop%208-20-25.pptx</t>
  </si>
  <si>
    <t>As part of the Geospatial Integration Platform (circa 2025), this interface leverages modern APIs (OData/REST) on the SAP S/4HANA platform to push updates to ArcGIS Online/Enterprise and vice versa[16](https://consumersenergy.sharepoint.com/sites/ITPMO/Projects/GISBasedDesignApps/_layouts/15/Doc.aspx?sourcedoc=%7B901C33F5-18B5-4A63-96E6-110F51E2090D%7D&amp;file=SAP_Interface_V02.pptx&amp;action=edit&amp;mobileredirect=true&amp;DefaultItemOpen=1)[16](https://consumersenergy.sharepoint.com/sites/ITPMO/Projects/GISBasedDesignApps/_layouts/15/Doc.aspx?sourcedoc=%7B901C33F5-18B5-4A63-96E6-110F51E2090D%7D&amp;file=SAP_Interface_V02.pptx&amp;action=edit&amp;mobileredirect=true&amp;DefaultItemOpen=1). The design is still evolving (with anticipated completion in 2025); initial plans suggest using SAP Cloud Platform Integration or direct REST calls from ArcGIS to query SAP for changes. It is targeted at near real-time synchronization for improved field visibility of SAP work orders. (No formal documentation was published as of the latest search, aside from technical design workshop materials.)</t>
  </si>
  <si>
    <t>ArcGIS Mobile apps (such as Collector or Field Maps) are used in field operations for map viewing and data collection. At CE, these apps do not directly interact with SAP. Any SAP data needed on mobile devices is made available via ArcGIS feature services (populated through the GIS-SAP interfaces described elsewhere), rather than a dedicated mobile-to-SAP interface</t>
  </si>
  <si>
    <t>ArcGIS Online is a cloud-based mapping platform. CE policy generally avoids direct integration of cloud services with on-premises SAP for security reasons. No internal documentation references any direct connection between AGOL and SAP; data exchange, if needed, would occur via intermediary systems or exports, not a point-to-point interface</t>
  </si>
  <si>
    <t>DNV’s Cascade (asset reliability/maintenance system) has no documented SAP integrations at CE. It likely operates independently for condition monitoring and analysis. Any required data transfer (e.g., maintenance recommendations) would be handled through reports or manual input into SAP PM, absent an automated interface</t>
  </si>
  <si>
    <t>GIS Notification/Order Interface (Electric)</t>
  </si>
  <si>
    <t>Similar to the Gas GIS interface, this integration enables creating SAP PM Notifications or Work Orders from the electric network GIS. By selecting an electric asset (e.g., pole or transformer) in the ArcGIS Electric GIS viewer, a user can initiate a maintenance notification in SAP tied to that asset. The interface passes the asset’s unique ID (equipment or functional location) and location information to SAP (via XI/PI), which responds by opening a new notification or order in SAP PM for that asset[14](https://consumersenergy.sharepoint.com/sites/namrexport/_layouts/15/Doc.aspx?sourcedoc=%7BEAFA5E96-5C65-412A-9BB9-0B09135467A5%7D&amp;file=CCS.DM.PP4%20B-020-010%20Upload%20Meter%20Reads_APPROVED-8D3CB4F68A94F5E.doc&amp;action=default&amp;mobileredirect=true&amp;DefaultItemOpen=1)[14](https://consumersenergy.sharepoint.com/sites/namrexport/_layouts/15/Doc.aspx?sourcedoc=%7BEAFA5E96-5C65-412A-9BB9-0B09135467A5%7D&amp;file=CCS.DM.PP4%20B-020-010%20Upload%20Meter%20Reads_APPROVED-8D3CB4F68A94F5E.doc&amp;action=default&amp;mobileredirect=true&amp;DefaultItemOpen=1)</t>
  </si>
  <si>
    <t>https://consumersenergy.sharepoint.com/sites/ITReferenceLibrary/PP6%20EAM_INT_045.6%20Electric%20GIS%20SAP%20Spatial%20Display%20GIS%20rev4.0-final%20for%20delivery%20review-8D3D6775210BA56.doc</t>
  </si>
  <si>
    <t>Implemented via SAP XI web services in parallel with the Gas GIS interface as part of the 2006–2007 “Spatial Display” project[14](https://consumersenergy.sharepoint.com/sites/namrexport/_layouts/15/Doc.aspx?sourcedoc=%7BEAFA5E96-5C65-412A-9BB9-0B09135467A5%7D&amp;file=CCS.DM.PP4%20B-020-010%20Upload%20Meter%20Reads_APPROVED-8D3CB4F68A94F5E.doc&amp;action=default&amp;mobileredirect=true&amp;DefaultItemOpen=1)[14](https://consumersenergy.sharepoint.com/sites/namrexport/_layouts/15/Doc.aspx?sourcedoc=%7BEAFA5E96-5C65-412A-9BB9-0B09135467A5%7D&amp;file=CCS.DM.PP4%20B-020-010%20Upload%20Meter%20Reads_APPROVED-8D3CB4F68A94F5E.doc&amp;action=default&amp;mobileredirect=true&amp;DefaultItemOpen=1). It uses the same underlying mechanism: a synchronous call from ArcGIS (through an integration layer) to SAP. This interface was demonstrated as an SAP and GIS integration success at industry events[14](https://consumersenergy.sharepoint.com/sites/namrexport/_layouts/15/Doc.aspx?sourcedoc=%7BEAFA5E96-5C65-412A-9BB9-0B09135467A5%7D&amp;file=CCS.DM.PP4%20B-020-010%20Upload%20Meter%20Reads_APPROVED-8D3CB4F68A94F5E.doc&amp;action=default&amp;mobileredirect=true&amp;DefaultItemOpen=1). In production, it reduced duplicate data entry by allowing field and office personnel to report issues directly from the map, with SAP capturing the necessary details for work management</t>
  </si>
  <si>
    <t>Geotab is a fleet vehicle telematics platform. CE internal documentation does not show any integration between Geotab and SAP. Vehicle usage or GPS data from Geotab is analyzed in Geotab’s system and via its own dashboards; if any data is needed in SAP (e.g., for cost allocation or maintenance triggers), it is likely via manual upload or a non-SAP system, not through a direct interface</t>
  </si>
  <si>
    <t>Mobile Work Management Interface (SAP ↔ Service Suite)</t>
  </si>
  <si>
    <t>Facilitates dispatch and status updates for field service work orders between SAP and Hitachi Service Suite (formerly ABB Service Suite). When SAP generates field work orders (e.g., for service connections, inspections, or repairs), they are sent to Service Suite’s scheduling/dispatch system so that field crews can receive and execute the work. As crews accept, start, and complete tasks in Service Suite’s mobile app, those status changes and results (like time stamps, completion codes, notes) are communicated back to SAP, keeping the SAP Work Management module updated without manual data entry</t>
  </si>
  <si>
    <t>No specific CE-authored documents were found detailing this integration, but by analogy with similar systems (e.g., ClickMobile), it likely uses web services or an intermediary (like SAP CPI or PI) to exchange IDoc/XML messages (ORDER_CREATE, ORDER_CONFIRM) with Service Suite in real time. This ensures SAP WAM (Work Asset Management) and the Service Suite mobile dispatch platform remain in sync on work order lifecycle. (The integration may have been implemented by Hitachi or a third-party, so limited internal documentation is available.)</t>
  </si>
  <si>
    <t>UtiliSphere (for 811 “Call Before You Dig” ticket management) operates independently of SAP. No interface is documented to push or pull data from SAP. Excavation tickets and site markings managed in UtiliSphere are not transmitted to SAP through an automated interface, as excavation requests are not managed in SAP at CE</t>
  </si>
  <si>
    <t>PRONTO (a substation protective relay testing system by Doble/Megger) has no integration with SAP documented. Test results are stored/reported within PRONTO; any follow-up actions (like maintenance orders in SAP) would be manually initiated by engineers based on PRONTO reports</t>
  </si>
  <si>
    <t>FuelWorx (fuel management software) is not shown to exchange data with SAP. Fuel consumption or inventory data from FuelWorx is likely used internally for analysis and not fed into SAP via a dedicated interface. No CE documents were found describing any such integration</t>
  </si>
  <si>
    <t>No external interface (in-SAP add-in)</t>
  </si>
  <si>
    <t>Korasoft is implemented as an add-on within SAP’s Real Estate (RE-FX) module to manage facility space. It runs inside the SAP environment, using standard SAP data and transactions, thus does not require a separate interface. All data (floor plans, space assignments, occupancy details) is stored in SAP’s database through the add-in’s use of RE-FX APIs and tables</t>
  </si>
  <si>
    <t>Korasoft extends SAP’s functionality natively. While it may import CAD drawings or export reports, those are handled within the application’s SAP GUI front-end. There is no need for an external integration, as it’s part of the SAP system</t>
  </si>
  <si>
    <t>This appears to be an internal IT initiative (possibly related to email system cleanup or security). It has no relation to SAP data or processes, and no integration with SAP is documented</t>
  </si>
  <si>
    <t>Refers to customer communications (bill inserts about services and safe digging). There is no integration with SAP for managing these inserts; they are handled by corporate communications and billing, but not through an interface that exchanges data with SAP</t>
  </si>
  <si>
    <t>“IWP” likely stands for Interval Web Portal (for customer energy usage data). While it receives data from the Itron IEE MDMS for customer consumption viewing[8](https://consumersenergy.sharepoint.com/sites/ITPMO/Projects/PJT18776/Shared%20Documents/03%20Define%20Phase/Smart%20Energy%20and%20Gas%20AMR%20Integration%20Architecture%20Model.pdf?web=1)[8](https://consumersenergy.sharepoint.com/sites/ITPMO/Projects/PJT18776/Shared%20Documents/03%20Define%20Phase/Smart%20Energy%20and%20Gas%20AMR%20Integration%20Architecture%20Model.pdf?web=1), it doesn’t interface directly with SAP. Instead, SAP provides meter read requests to IEE, and IEE supplies data to the IWP. No separate SAP-to-IWP interface is documented</t>
  </si>
  <si>
    <t>CE’s SQM (Survey Quality Management) system collects customer feedback (e.g., post-call or post-service surveys). There is no evidence of an interface to SAP. Any relevant customer or employee data is likely taken from SAP via reports, but survey results themselves are stored and analyzed outside of SAP with no direct integration</t>
  </si>
  <si>
    <t>“TRS Tax Code” likely refers to an internal tax calculation or tracking component. CE’s documentation provides no indication of a standalone interface for tax codes; tax rates and rules are maintained within SAP (Tax module). Thus, there is no external system interface for “TRS Tax Code”</t>
  </si>
  <si>
    <t>PRONTO, used for electric protective relay testing (by Synergy/Megger), has no direct connection to SAP. Test results from PRONTO may be reviewed by engineers and manually entered into SAP’s asset records if needed, but no automated SAP interface is documented.</t>
  </si>
  <si>
    <t>FuelWorx Invoice Inbound (MI_FuelWorx_Invoice_Out)</t>
  </si>
  <si>
    <t>Transfers fuel procurement and usage data from the FuelWorx system into SAP’s Accounts Payable, automating the creation of fuel vendor invoices in SAP. This interface ensures transactions recorded in FuelWorx (e.g., coal or fuel oil deliveries, consumption records) are sent to SAP for financial processing and payment.</t>
  </si>
  <si>
    <t>https://consumersenergy.sharepoint.com/sites/ITReferenceLibrary/Shared%20Documents/ERP_FUELWORX_PROCESS_INVOICES-Technical%20Design%20Details%20Document.docxERP_FUELWORX_PROCESS_INVOICES – Technical Design (SharePoint)[4](https://consumersenergy.sharepoint.com/sites/ITPMO/Projects/PJT02405/_layouts/15/Doc.aspx?sourcedoc=%7B1D6F9836-82CC-4DE5-B56F-B113D1068202%7D&amp;file=TUT2_ERP_FUELWORX_PROCESS_INVOICES.docx&amp;action=default&amp;mobileredirect=true&amp;DefaultItemOpen=1)[5](https://consumersenergy.sharepoint.com/sites/ITPMO/Projects/PJT02405/_layouts/15/Doc.aspx?sourcedoc=%7BD080124A-138A-4DAA-9143-CD1503AA603A%7D&amp;file=ERP_FUELWORX_PROCESS_INVOICES-Technical%20Design%20Details%20Document.docx&amp;action=default&amp;mobileredirect=true&amp;DefaultItemOpen=1)</t>
  </si>
  <si>
    <r>
      <t xml:space="preserve">Interface </t>
    </r>
    <r>
      <rPr>
        <sz val="10"/>
        <color theme="1"/>
        <rFont val="Arial Unicode MS"/>
      </rPr>
      <t>MI_FuelWorx_Invoice_Out</t>
    </r>
    <r>
      <rPr>
        <sz val="11"/>
        <color theme="1"/>
        <rFont val="Segoe UI"/>
        <family val="2"/>
      </rPr>
      <t xml:space="preserve"> runs as an asynchronous file transfer via SAP PI[4](https://consumersenergy.sharepoint.com/sites/ITPMO/Projects/PJT02405/_layouts/15/Doc.aspx?sourcedoc=%7B1D6F9836-82CC-4DE5-B56F-B113D1068202%7D&amp;file=TUT2_ERP_FUELWORX_PROCESS_INVOICES.docx&amp;action=default&amp;mobileredirect=true&amp;DefaultItemOpen=1). FuelWorx generates a flat file of invoice data, which is picked up by CE’s integration layer (XID_JAVA) and forwarded to SAP ECC (client ECD) where a proxy program creates or posts the invoices[4](https://consumersenergy.sharepoint.com/sites/ITPMO/Projects/PJT02405/_layouts/15/Doc.aspx?sourcedoc=%7B1D6F9836-82CC-4DE5-B56F-B113D1068202%7D&amp;file=TUT2_ERP_FUELWORX_PROCESS_INVOICES.docx&amp;action=default&amp;mobileredirect=true&amp;DefaultItemOpen=1)[5](https://consumersenergy.sharepoint.com/sites/ITPMO/Projects/PJT02405/_layouts/15/Doc.aspx?sourcedoc=%7BD080124A-138A-4DAA-9143-CD1503AA603A%7D&amp;file=ERP_FUELWORX_PROCESS_INVOICES-Technical%20Design%20Details%20Document.docx&amp;action=default&amp;mobileredirect=true&amp;DefaultItemOpen=1). The interface uses SAP PO’s file content conversion to transform and validate the data (e.g., ensuring record counts and totals match) before posting. This was developed as part of replacing an older parsing engine with SAP PO for FuelWorx data handling.</t>
    </r>
  </si>
  <si>
    <t>Korasoft Space Management is an add-on component within SAP’s Real Estate (RE-FX) module and works inside the SAP environment. As such, it doesn’t require external system interfaces – it leverages SAP’s internal data and processes. CE’s documentation does not list any external integrations for Korasoft.</t>
  </si>
  <si>
    <t>This refers to an internal IT security/operations project (email data loss prevention/remediation). It does not involve any SAP systems; no integration with SAP is documented in CE’s internal sources.</t>
  </si>
  <si>
    <t>These “Guide to Our Services” and “Buried Line” inserts are customer communication materials, typically included with billing. The process of incorporating inserts into bills involves SAP’s print/output management, but CE documentation shows no specific interface named for these inserts. They are likely handled via the bill print process (possibly through a third-party print service) without a discrete SAP interface.</t>
  </si>
  <si>
    <t>Customer Master Data POST to IWP</t>
  </si>
  <si>
    <t>Pushes customer and account information from SAP’s CIS (Customer Information System) to the Silverlink “Integration Work Portal (IWP)” platform via a RESTful service. This pilot interface enabled external customer engagement/analytics tools to receive up-to-date customer profiles, premise data, and meter identifiers from SAP for further processing or outreach.</t>
  </si>
  <si>
    <t>https://consumersenergy.sharepoint.com/sites/ITPMO/Projects/PJT05280/Shared%20Documents/03%20Define%20Phase/ESB.Upgrade.IWP.Integration.Guide.docxSilverlink IWP Integration Guide (SharePoint)</t>
  </si>
  <si>
    <t>CE’s SAP PI was configured to transform customer master data into a JSON message and invoke IWP’s secure REST API endpoint. The interface sends data such as account IDs, names, contact details, service point and meter IDs, etc., on a scheduled or triggered basis. (The “IWP” interface was implemented on a limited scale and considered a pilot; it may not be in wide use.)</t>
  </si>
  <si>
    <t>Customer Survey Quality Measurement (SQM) is an internal process for surveying customer satisfaction and performing QA on service work. CE’s internal records show no direct SAP integration for the SQM process. Survey invitations and results are handled via external systems and customer communication channels (email, phone), without a dedicated SAP interface.</t>
  </si>
  <si>
    <t>“TRS Tax Code Lookup” is a custom internal application (with a PowerPlan database backend[6](https://consumersenergy.sharepoint.com/sites/ITPMO/Projects/PJT23780/_layouts/15/Doc.aspx?sourcedoc=%7B84084257-A991-4FC7-A08E-6F0B3C1F9912%7D&amp;file=HCT_ASIS_Checklist_TRS_TAX_CODE.xlsx&amp;action=default&amp;mobileredirect=true&amp;DefaultItemOpen=1)) used to find property tax codes for assets based on Township-Range-Section (TRS) geography. It has read-only access to PowerPlan’s database for tax codes[6](https://consumersenergy.sharepoint.com/sites/ITPMO/Projects/PJT23780/_layouts/15/Doc.aspx?sourcedoc=%7B84084257-A991-4FC7-A08E-6F0B3C1F9912%7D&amp;file=HCT_ASIS_Checklist_TRS_TAX_CODE.xlsx&amp;action=default&amp;mobileredirect=true&amp;DefaultItemOpen=1) and no direct interface to SAP. Any needed SAP data (e.g., work order functional locations) is manually entered into the tool, and any outputs (tax codes) are manually keyed into SAP Work Order fields by users.</t>
  </si>
  <si>
    <t>(Multiple Items)</t>
  </si>
  <si>
    <t>Count of Workstream</t>
  </si>
  <si>
    <t>Your task is to build a complete, evidence-backed, and consistent inventory of all SAP-related interfaces for the Vendor + Product/Application pairs listed in the VENDOR / PRODUCT-APPLICATION INPUT LIST section of this prompt.
You must strictly follow the data source, search, extraction, and output rules in this prompt. Do not infer or assume anything that is not explicitly documented in Consumers Energy internal content.
============================================================
GOAL
Build a consolidated, spreadsheet-ready table of all SAP-related interfaces (direct or indirect) for the specified Vendor + Product/Application pairs, using only Consumers Energy (CE) internal documentation, with strict “no inference” rules and explicit evidence (HTTPS URLs) for every interface.
============================================================
SCOPE – VENDOR / PRODUCT-APPLICATION INPUT LIST
You will be provided with a list of Vendor --- Product/Application pairs in the following format (one per line):
&lt;Vendor Name&gt; --- &lt;Product/Application Name&gt;
For example:
Vendor A --- Product/Application 1
Vendor B --- Product/Application 2
Actual Input List (to be processed):
CE ---  Landlord Portal LLP
CE ---  CRM7 (needed for Release 1)
CE ---  Agricultural Services Database (OWNED BY WAM) Integration (WAM application)
CE ---  Consumers Web Site/Sitecore ce.com
CE ---  Streetlight Outage Application SOAR
CE ---  C&amp;I DR NOC Reporting DRMS
CE ---  SEEload-DRMS software
CE ---  EE Rebate (to/from ICF or Nucleus) Integration
CE ---  Theft Analytics/Theft Workbench
CE ---  DPO Bill Stub Scanner Integration
CE ---  DPO Receipt Printer Integration
CE ---  FI to CCS Sales Tax Extract Integration
CE ---  Business Center Warehouse (BCW) Integration 
CE ---  OT (OWCE, DRMS)
CE ---  CSSO Portal
CE ---  EAM Dashboard
CE ---  ForestryWISE
CE ---  iSchedule
CE ---  Mobile Phone Application(Apollo)
CE ---  Customer Portal Admin
For each Vendor --- Product/Application pair in this input list:
Identify all SAP-related interfaces.
Generate one or more rows in the final table as defined in the “OUTPUT FORMAT (MANDATORY)” section.
============================================================
DATA SOURCES (STRICT – CE INTERNAL ONLY)
You may use ONLY Consumers Energy internal content from the following locations:
CE SharePoint Online (sites, libraries, subsites, archives), specifically:
https://consumersenergy.sharepoint.com/sites/ICOE
https://consumersenergy.sharepoint.com/sites/CESWS
https://consumersenergy.sharepoint.com/sites/ITReferenceLibrary
https://consumersenergy.sharepoint.com/sites/ITPMO
https://consumersenergy.sharepoint.com/sites/btsqa
https://consumersenergy.sharepoint.com/sites/home
https://consumersenergy.sharepoint.com/sites/DPE
https://consumersenergy.sharepoint.com/sites/namrexport
https://consumersenergy.sharepoint.com/teams/BusinessandITOpsCollaboration
https://consumersenergy.sharepoint.com/teams/ADMSProject
https://consumersenergy.sharepoint.com/teams/GeospatialPlatform
https://consumersenergy.sharepoint.com/sites/DSCO
https://consumersenergy.sharepoint.com/sites/EGIS
https://consumersenergy.sharepoint.com/teams/BCCBusinessCenter
https://consumersenergy.sharepoint.com/sites/ADSS
https://consumersenergy.sharepoint.com/teams/CSTS
Research all SharePoint location iterative for every vendor application pair.
CE ServiceNow knowledge content accessible via:
https://cmsenergy.service-now.com/now/nav/ui/classic/params/target/%24knowledge.do
Attachments and files stored in those locations:
DOCX, XLSX, PPTX, PDF, Visio, images (PNG/JPG, etc.)
OCR/text extracted from diagrams, screenshots, and images
You MUST NOT use:
Any public websites or internet sources
External/vendor documentation
Assumed or tribal knowledge
Any content that is not explicitly stored under the CE locations listed above
============================================================
EVIDENCE &amp; URL RULES
All documentation links must be full HTTPS URLs.
No relative paths
No “site name only”
No non-HTTPS links
If there is no resolvable CE HTTPS URL that supports an interface, you MUST NOT include that interface.
All URLs must appear ONLY in the “Documentation HTTPS Links (Full CE HTTPS URLs, comma-separated)” column of the final table.
Do NOT place URLs in the Notes column or anywhere else.
============================================================
SEARCH STRATEGY (MAXIMUM AGGRESSION – INTERNAL ONLY)
For EACH Vendor + Product/Application pair, follow the same search logic.
Build search queries using combinations of:
Vendor and product names &amp; variants, for example:
"&lt;Vendor Name&gt; &lt;Product/Application Name&gt;"
"&lt;Vendor Name&gt; &lt;Product short name or acronym&gt;"
"&lt;Product/Application Name&gt; integration"
SAP &amp; integration terms:
"SAP", "ECC", "S/4", "S/4HANA", "IS-U", "PO", "PI", "CPI", "IDoc",
"EDI", "file", "SFTP", "REST", "SOAP", "OData", "API", "batch",
"integration", "interface", "BizTalk", "ESB", "Axway", "X3P", "X6P", "ECP"
Target especially:
System landscape diagrams
Interface catalogs and matrices
Architecture decision records
Integration specifications
Test plans and QA documents
Project or implementation documents that mention these Vendor + Product/Application pairs alongside any SAP system or middleware.
For each document you find:
Extract only what is explicitly stated.
Do NOT infer connections that are not clearly described.
============================================================
INCLUSION RULES – WHEN TO COUNT A SAP INTERFACE
Treat SAP as involved ONLY when CE documentation explicitly shows the product connecting (directly or indirectly) to an SAP system, including but not limited to:
Product/Application → SAP ECC / SAP S/4HANA / SAP IS-U
Product/Application → SAP PO/PI → SAP ECC / S/4 / IS-U
Product/Application → file drop (e.g., SFTP, shared directory) → SAP CPI/PO/PI → SAP
Product/Application → ESB/Axway/BizTalk/other middleware → SAP
Product/Application appears in an architecture or integration diagram that shows a path (even via intermediaries) to any SAP system
You must:
Include only integrations where SAP is an endpoint or final target in the flow.
NOT include integrations that involve the product but do NOT involve SAP at all.
============================================================
INTERFACE IDENTIFICATION RULES
For each Vendor + Product/Application pair:
Identify all distinct SAP-related interfaces (each unique integration flow or interface).
If a product has multiple separate SAP integrations (e.g., one for master data, one for transactions), treat each as a separate interface.
For each distinct interface:
Ensure there is at least one CE internal document (with HTTPS URL) that explicitly supports its existence.
If no supporting document with HTTPS URL is found, do NOT include that interface in the table.
If NO SAP integration documentation exists in CE internal content for a given Vendor/Product:
You must still create ONE row for that Vendor/Product in the final table.
Follow the “No SAP related interfaces found” pattern described in the NOT FOUND section below.
============================================================
INTEGRATION TYPE RULES (NO INFERENCE)
Populate the “Integration Type (SAP PO / File / API)” column ONLY based on explicit statements in CE documentation.
Use “SAP PO” when SAP NetWeaver XI/PI/PO is explicitly referenced (e.g., “SAP PI”, “SAP PO”, “SAP Process Orchestration”).
Use “File” when explicit file-based transfer is referenced:
Examples: “flat file”, “CSV”, “XML file”, “batch file”, “file drop”, “SFTP”, “FTP”, “shared drive”, “directory polling”.
Use “API” when REST, SOAP, OData, or other API-based integration is explicitly documented:
Examples: “REST service”, “SOAP web service”, “OData API”, “HTTP API”.
If none of the above are clearly stated, set Integration Type to:
“Not found”
Do NOT infer integration types based on your own assumptions.
============================================================
DATA ELEMENTS TO EXTRACT PER INTERFACE
For each SAP-related interface you identify (and can evidence with at least one CE HTTPS URL), extract and populate the following:
Vendor
Use the exact Vendor name as given in the input Vendor / Product-Application list.
Product/Application Name
Use the exact Product/Application name as given in the input list.
SAP Interface Name
Use the exact interface name as written in CE documentation, when available.
If multiple names/aliases exist:
Choose the most commonly used or most formal name as the primary value.
Mention other aliases in the “Notes” column.
Purpose of Interface
Provide a concise description of what the interface does, based ONLY on the documentation.
Example structure: “Transfers [data] from [system] to [SAP system] for [reason/process].”
Do NOT add purpose that is not explicitly stated or clearly implied by the document.
Documentation HTTPS Links (Full CE HTTPS URLs, comma-separated)
Include ALL key CE documents that describe or prove the interface.
Use full HTTPS URLs only.
Separate multiple URLs with commas.
Do NOT place URLs anywhere else in the table (only in this column).
Integration Type (SAP PO / File / API)
Populate ONLY per the Integration Type Rules above.
If not explicitly documented, use “Not found”.
Notes
Capture:
Ambiguities and clarifications (e.g., “Interface identified only in high-level diagram”; “Legacy interface, may be decommissioned”).
Indirect flows (e.g., “Product integrates via Axway to SAP ECC”).
Dependencies (e.g., “Depends on nightly batch job in Axway”).
Any alternate interface names or abbreviations.
Do NOT include URLs in this column.
If there is nothing meaningful to add, you may use “Not found”.
============================================================
“NOT FOUND” &amp; ABSENCE RULES
Use the exact phrase “Not found” when any of the following is true:
A specific field (e.g., Purpose of Interface, Integration Type, Notes when applicable) is not explicitly documented in CE sources.
You cannot find any SAP-related interface documentation for a given Vendor/Product.
For Vendor/Product combinations with NO SAP-related interfaces documented:
Still create ONE row in the final table.
Populate:
Vendor and Product/Application Name from the input list.
SAP Interface Name: “No SAP related interfaces found”
Purpose of Interface: “Not found”
Documentation HTTPS Links: “Not found”
(Use “Not found” only if truly no documents were found at all that mention the product alongside SAP; otherwise include whatever CE URLs prove that there is NO SAP integration if such a statement is explicitly documented.)
Integration Type: “Not found”
Notes: Briefly explain that extensive CE internal searches were performed but found no SAP-related integrations for this product, based on the allowed sources.
DO NOT:
Infer interface existence.
Infer ECC vs S/4HANA impact (if mentioned anywhere, treat it like any other field and only capture what is explicitly stated).
Infer integration types.
============================================================
WORKFLOW &amp; CONSISTENCY
Apply the following steps IN ORDER for EACH Vendor/Product pair, using identical logic each time:
a) Identify relevant CE sources
Search only within the allowed SharePoint sites and ServiceNow knowledge base.
Use the search strategy described above.
b) Extract evidence
From each relevant document, capture only information directly related to:
The Vendor/Product
Any SAP system
Any integration/middleware connecting them.
c) Validate SAP involvement
Confirm that the product is in an integration path that includes SAP (directly or via middleware).
If the product does not connect to SAP in any way, treat it as “No SAP related interfaces found”.
d) Build a structured list of interfaces
For each validated SAP-related interface, create one logical record with all required fields and supporting URLs.
e) Generate the final table rows
Convert your structured list into rows in the output table.
Ensure all URLs are in the “Documentation HTTPS Links” column only.
Use “Not found” consistently wherever required.
============================================================
OUTPUT FORMAT (MANDATORY)
Produce ONE consolidated, spreadsheet-ready HTML table with the following columns in this exact order and naming:
Vendor
Product/Application Name
SAP Interface Name
Purpose of Interface
Documentation HTTPS Links (Full CE HTTPS URLs, comma-separated)
Integration Type (SAP PO / File / API)
Notes
The HTML table must:
Use minimal styling (no CSS, no inline styles).
Use standard HTML tags only: &lt;table&gt;, &lt;thead&gt;, &lt;tbody&gt;, &lt;tr&gt;, &lt;th&gt;, &lt;td&gt;.
Include one header row with the column names listed above, in order.
Include one &lt;tr&gt; per interface (or per Vendor/Product if no interfaces are found), with &lt;td&gt; elements in the same column order.
Required HTML structure (schema):
&lt;table&gt;
  &lt;thead&gt;
    &lt;tr&gt;
      &lt;th&gt;Vendor&lt;/th&gt;
      &lt;th&gt;Product/Application Name&lt;/th&gt;
      &lt;th&gt;SAP Interface Name&lt;/th&gt;
      &lt;th&gt;Purpose of Interface&lt;/th&gt;
      &lt;th&gt;Documentation HTTPS Links (Full CE HTTPS URLs, comma-separated)&lt;/th&gt;
      &lt;th&gt;Integration Type (SAP PO / File / API)&lt;/th&gt;
      &lt;th&gt;Notes&lt;/th&gt;
    &lt;/tr&gt;
  &lt;/thead&gt;
  &lt;tbody&gt;
    &lt;!-- One &lt;tr&gt; per interface / per Vendor-Product combination --&gt;
  &lt;/tbody&gt;
&lt;/table&gt;
When you generate the actual answer:
Replace the placeholder comment with real &lt;tr&gt;...&lt;/tr&gt; rows.
Do not wrap the HTML in code fences.
Do not add any CSS, style attributes, scripts, or additional markup outside the &lt;table&gt; element.
Final Instruction:
Output ONLY this HTML &lt;table&gt; as your final answer.
Do not include any additional narrative, headings, explanations, or text outside the &lt;table&gt; element.</t>
  </si>
  <si>
    <t>Entered By</t>
  </si>
  <si>
    <t>Cadmus</t>
  </si>
  <si>
    <t>Julie VanBlarcum</t>
  </si>
  <si>
    <t>No need to test Cadmus; Aamani Kothi verified on 2/6 that we are not sending  data or files through SAP to Cadmus</t>
  </si>
  <si>
    <t>High Risk?</t>
  </si>
  <si>
    <t>X-Small</t>
  </si>
  <si>
    <t>S4 EDI Testing Support</t>
  </si>
  <si>
    <t>No integrations with SAP, PowerPlan</t>
  </si>
  <si>
    <t>Mostly Intenal work, would not need ServiceNow vendor support, only if there are any issues while testing.</t>
  </si>
  <si>
    <t>Tech Upgrade or Re-write with SNOW APIs?</t>
  </si>
  <si>
    <t>Small</t>
  </si>
  <si>
    <t>SC_INT_090 - PO and BizTalk Outbound to ACF; ACF then sends us an Inbound Invoice file (FI_INT_880); contacted vendor; not provided any cost impact or estimate, but the vendor indicated they could support APIs if we wanted to move that direction which may then have SOW or cost implications estimated at $50k (but this ROM could be way off)</t>
  </si>
  <si>
    <t>Changes needed will be made by CE resources.
Internal costs - 25,000$</t>
  </si>
  <si>
    <t>CE Internal, no Vendor impacts.</t>
  </si>
  <si>
    <t>Employee and Shift Info</t>
  </si>
  <si>
    <t>Arcos APIs are being used, so should not be much change on their end. For SAP Changes as well, ARCOS might be a AppRat candidate in future, might not make sense to re-write now.</t>
  </si>
  <si>
    <t xml:space="preserve">Adapter/RPA </t>
  </si>
  <si>
    <t xml:space="preserve">Internal Support </t>
  </si>
  <si>
    <t>Combined with ADMS OMS below</t>
  </si>
  <si>
    <t>PT Storm Testing support, Vendor supported needed only if the internal teams cannot resolve issues.</t>
  </si>
  <si>
    <t>Bayforce/Ceredian, tcode on-prem</t>
  </si>
  <si>
    <t>LeRoy Eberly / Russ Hanshue</t>
  </si>
  <si>
    <t>Design, WO etc.</t>
  </si>
  <si>
    <t>Re-write with Std S4</t>
  </si>
  <si>
    <t>Potential to re-write with standard SAP APIs, as the ProjectWise use is being expanded.</t>
  </si>
  <si>
    <t>Follow-up</t>
  </si>
  <si>
    <t>EDI should be done, would not need MSFT engagement</t>
  </si>
  <si>
    <t>Re-write because of S4</t>
  </si>
  <si>
    <t>3 interfaces, UI changes, good bit of changes</t>
  </si>
  <si>
    <t>Contract from 2015.  Retired 2025</t>
  </si>
  <si>
    <t>Accepting CCs at DPOs has been eliminated altogether in 2025.  CE is operating under the same PO since 2016.</t>
  </si>
  <si>
    <t>Brenden Fraczek</t>
  </si>
  <si>
    <t xml:space="preserve">Brittany Fisher / Jarrod Skogen </t>
  </si>
  <si>
    <t>Looks like there is an SAP PO interface</t>
  </si>
  <si>
    <t>Voxai (DialPad/Koopid)</t>
  </si>
  <si>
    <t>Russell Hanshue / Matt Parker / Ben Fredrick</t>
  </si>
  <si>
    <t>Yes-SOW</t>
  </si>
  <si>
    <t>Marcy Stump / Shauna Angst</t>
  </si>
  <si>
    <t>No integrations, 3rd party CSRs call transfers, might need to be engaged to validate the process</t>
  </si>
  <si>
    <t>Shelly Ortega/Matt Parker</t>
  </si>
  <si>
    <t>Covered in Electric GIS line item below</t>
  </si>
  <si>
    <t xml:space="preserve">All GIS upgrades part of UN projects are separate scope from S4, the SAP GIS Integrations/Sync will be part of UN scope. For S4, it's more Reg testing. For any data model changes in WAM, we might need some support from ESRI, so categorizing it as Medium for all GIS's together. </t>
  </si>
  <si>
    <t>Jackie Knight / Brad Herson / Rae Anne Tolonen</t>
  </si>
  <si>
    <t>Tech Upgrade &amp; Re-write</t>
  </si>
  <si>
    <t>Fidelity needs to standup an environment, the 7 integrations will be split between R1 and R2</t>
  </si>
  <si>
    <t xml:space="preserve">Kimberly Pargoff </t>
  </si>
  <si>
    <t>6/20 Sent email - no response as of 7/3 (FISERV is Authorized Pay Agents and Bank eBill Delivery</t>
  </si>
  <si>
    <t>Qual for Respirator, LMS, SAP, Henry Ford. Internal</t>
  </si>
  <si>
    <t>Fleet, no SAP integrations</t>
  </si>
  <si>
    <t>Karalee M. McKinstry-Masker, Christina Gipson (cc)</t>
  </si>
  <si>
    <t>Interfaces like TMD/BMD, Rates, Billing can just be a Tech upgrade and not re-write. Mostly Regression testing.</t>
  </si>
  <si>
    <t>Michael P Brown, Russell Hanshue; Brenden Fraczek for PTR/CPP</t>
  </si>
  <si>
    <t xml:space="preserve"> Stephanie Hutchinson</t>
  </si>
  <si>
    <t>Business Partner: Clare Powell</t>
  </si>
  <si>
    <t>Internal integrations, vendor support might be needed if any issues.</t>
  </si>
  <si>
    <t>covered above in eSOMS</t>
  </si>
  <si>
    <t>GIS, WO</t>
  </si>
  <si>
    <t>Inhouse</t>
  </si>
  <si>
    <t>5 existing PO/API based Outbound to ISN; Spoke with Matt Herbert on 8/25/2025, and we both agreed that there is a low risk the vendor should have much impact or effort on their side and we are not expecting a SOW or costs implications from the them; vendor was not contacted</t>
  </si>
  <si>
    <t>Remote Disconnects/Reconnects</t>
  </si>
  <si>
    <t>Uses SAP Standard AMI Services. Should not be much impacts on the Itron side with S4, re-use their standard APIs. But we might need took at TIBCO ESB orchrestration, if there ia apetite to move that to S4 BTP.</t>
  </si>
  <si>
    <t>Meter Readings</t>
  </si>
  <si>
    <t>Shouldn't be much changes for OWCE and FCS. FieldPro and MV-90 a TBD probably up for upgrade in future, might make sense to keep the interfaces working.</t>
  </si>
  <si>
    <t>Job Desc Made Simple - SF Add On from Horizons</t>
  </si>
  <si>
    <t>Would end up as Medium if we decide to upgrade it.</t>
  </si>
  <si>
    <t>Riverstar to SAP CA lookup interface.</t>
  </si>
  <si>
    <t>Rise will cover this, so Retire.</t>
  </si>
  <si>
    <t>Leverages Fidelity files, covered in Fidility estimates</t>
  </si>
  <si>
    <t>Shauna Angst / Andy White (CC)</t>
  </si>
  <si>
    <t>Compensation benchmarking, getting updated currently.</t>
  </si>
  <si>
    <t>Blaise Krol / Alicia Roach</t>
  </si>
  <si>
    <t>Internal</t>
  </si>
  <si>
    <t>Jennifer Duncan</t>
  </si>
  <si>
    <t>Part existing contract, part new changes and new costs</t>
  </si>
  <si>
    <t>Combined with Unifier estimate</t>
  </si>
  <si>
    <t>Unifier, Impress, BI Pub all together medium.</t>
  </si>
  <si>
    <t>Voxai contract for our Genesys testing. Manoj has the numbers, follow-up.</t>
  </si>
  <si>
    <t>Yes-Long Lead Time</t>
  </si>
  <si>
    <t>should be retiring. Workshop should be taking that functionality.</t>
  </si>
  <si>
    <t>NCOA</t>
  </si>
  <si>
    <t>Judi Helm / Michael McManus</t>
  </si>
  <si>
    <t>Demographic load</t>
  </si>
  <si>
    <t>Yes-SOW and Long Lead time</t>
  </si>
  <si>
    <t>Used in Tax, no integrations</t>
  </si>
  <si>
    <t>Will be retiring, SF will be used for Org Planning</t>
  </si>
  <si>
    <t>Concur will be replacing it.</t>
  </si>
  <si>
    <t>Included in SI Scope.</t>
  </si>
  <si>
    <t>Re-write with ServiceNow S4 APIs? Can we do it internally? Pulling out the funcitonality from ServiceNow HR to S/4 EC, but also setting up EC sync-up with ServiceNow HR, for Emp Demographics, Org data etc.</t>
  </si>
  <si>
    <t>Re-write</t>
  </si>
  <si>
    <t>Learnings from KPMG workshops, need data model changes.</t>
  </si>
  <si>
    <t xml:space="preserve">Lot of changes with S4 </t>
  </si>
  <si>
    <t>Big ticket item</t>
  </si>
  <si>
    <t>Coverd in above UI estimates</t>
  </si>
  <si>
    <t>EDI Payment Consolidators</t>
  </si>
  <si>
    <t>P&amp;C EDIs</t>
  </si>
  <si>
    <t>For EDI from State of MI, separate from LIHEAP above. Mostly Regression testing.</t>
  </si>
  <si>
    <t>No interfaces, might not be needed.</t>
  </si>
  <si>
    <t>changes from our S4 data model</t>
  </si>
  <si>
    <r>
      <rPr>
        <sz val="11"/>
        <color theme="1"/>
        <rFont val="Aptos Narrow"/>
        <family val="2"/>
      </rPr>
      <t>•</t>
    </r>
    <r>
      <rPr>
        <sz val="11"/>
        <color theme="1"/>
        <rFont val="Aptos Narrow"/>
        <family val="2"/>
        <scheme val="minor"/>
      </rPr>
      <t xml:space="preserve">Already have other customers using SAP S/4
</t>
    </r>
    <r>
      <rPr>
        <sz val="11"/>
        <color theme="1"/>
        <rFont val="Aptos Narrow"/>
        <family val="2"/>
      </rPr>
      <t>•</t>
    </r>
    <r>
      <rPr>
        <sz val="11"/>
        <color theme="1"/>
        <rFont val="Aptos Narrow"/>
        <family val="2"/>
        <scheme val="minor"/>
      </rPr>
      <t xml:space="preserve">There is the option to update the data extract when a customer moves over to S/4 HANA and we would recommend that Consumers do this 
</t>
    </r>
    <r>
      <rPr>
        <sz val="11"/>
        <color theme="1"/>
        <rFont val="Aptos Narrow"/>
        <family val="2"/>
      </rPr>
      <t>•</t>
    </r>
    <r>
      <rPr>
        <sz val="11"/>
        <color theme="1"/>
        <rFont val="Aptos Narrow"/>
        <family val="2"/>
        <scheme val="minor"/>
      </rPr>
      <t xml:space="preserve">Do Not have APIs for ingesting data. </t>
    </r>
  </si>
  <si>
    <t>3 existing BizTalk files; contacted vendor; they already have other customers using SAP S/4; there are some data extract changes they recommend for when customers move to S/4; they currently do not have APIs for ingesting data; estimated a vendor cost, but we did not discuss change impact or cost implications estimated at $50k (but this ROM could be way off)</t>
  </si>
  <si>
    <t>No integrations with SAP currently, process.</t>
  </si>
  <si>
    <t>Supplier Code</t>
  </si>
  <si>
    <t>ACT/CON</t>
  </si>
  <si>
    <t>FTP</t>
  </si>
  <si>
    <t>NOM</t>
  </si>
  <si>
    <t>Prices</t>
  </si>
  <si>
    <t>Remit/Recon</t>
  </si>
  <si>
    <t>ARD</t>
  </si>
  <si>
    <t>BES</t>
  </si>
  <si>
    <t>CLE</t>
  </si>
  <si>
    <t>CPE</t>
  </si>
  <si>
    <t>EAM</t>
  </si>
  <si>
    <t>EGE</t>
  </si>
  <si>
    <t>ELG</t>
  </si>
  <si>
    <t>FMC</t>
  </si>
  <si>
    <t>GLT</t>
  </si>
  <si>
    <t>IGS</t>
  </si>
  <si>
    <t>JEM</t>
  </si>
  <si>
    <t>MCE</t>
  </si>
  <si>
    <t>MED</t>
  </si>
  <si>
    <t>MNG</t>
  </si>
  <si>
    <t>NDC</t>
  </si>
  <si>
    <t>NTH</t>
  </si>
  <si>
    <t>PAL</t>
  </si>
  <si>
    <t>PPO</t>
  </si>
  <si>
    <t>RES</t>
  </si>
  <si>
    <t>RPA</t>
  </si>
  <si>
    <t>SAN</t>
  </si>
  <si>
    <t>SSE</t>
  </si>
  <si>
    <t>UET</t>
  </si>
  <si>
    <t>UGE</t>
  </si>
  <si>
    <t>URS</t>
  </si>
  <si>
    <t>XEM</t>
  </si>
  <si>
    <t>ES_SEM</t>
  </si>
  <si>
    <t>ES_ERM</t>
  </si>
  <si>
    <t>ES_CON</t>
  </si>
  <si>
    <t>ES_STE</t>
  </si>
  <si>
    <t>ES_FES</t>
  </si>
  <si>
    <t>ES_SRE</t>
  </si>
  <si>
    <t>ES_WPM</t>
  </si>
  <si>
    <t>1 Identified Supplier to test, do not need to test all the rest</t>
  </si>
  <si>
    <t>Vendor Name</t>
  </si>
  <si>
    <t>No. of Batch Interfaces</t>
  </si>
  <si>
    <t>PO Interfaces</t>
  </si>
  <si>
    <t>PO and ESB</t>
  </si>
  <si>
    <t>Complexity</t>
  </si>
  <si>
    <t>Hours</t>
  </si>
  <si>
    <t>No SOW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</si>
</sst>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52">
    <font>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sz val="11"/>
      <color rgb="FF000000"/>
      <name val="Calibri"/>
      <family val="2"/>
    </font>
    <font>
      <sz val="11"/>
      <color rgb="FF000000"/>
      <name val="Aptos Narrow"/>
      <family val="2"/>
    </font>
    <font>
      <sz val="11"/>
      <color rgb="FF323130"/>
      <name val="Aptos Narrow"/>
      <family val="2"/>
      <scheme val="minor"/>
    </font>
    <font>
      <u/>
      <sz val="11"/>
      <color theme="10"/>
      <name val="Aptos Narrow"/>
      <family val="2"/>
      <scheme val="minor"/>
    </font>
    <font>
      <b/>
      <i/>
      <sz val="11"/>
      <color rgb="FF000000"/>
      <name val="Aptos Narrow"/>
      <family val="2"/>
      <scheme val="minor"/>
    </font>
    <font>
      <sz val="11"/>
      <color rgb="FF000000"/>
      <name val="Aptos Narrow"/>
      <family val="2"/>
      <scheme val="minor"/>
    </font>
    <font>
      <sz val="11"/>
      <color theme="1"/>
      <name val="Aptos Narrow"/>
      <family val="2"/>
      <scheme val="minor"/>
    </font>
    <font>
      <strike/>
      <sz val="11"/>
      <color theme="1"/>
      <name val="Aptos Narrow"/>
      <family val="2"/>
      <scheme val="minor"/>
    </font>
    <font>
      <sz val="11"/>
      <color theme="1"/>
      <name val="Aptos"/>
      <family val="2"/>
    </font>
    <font>
      <strike/>
      <sz val="11"/>
      <color rgb="FF000000"/>
      <name val="Aptos Narrow"/>
      <family val="2"/>
      <scheme val="minor"/>
    </font>
    <font>
      <sz val="11"/>
      <color theme="1"/>
      <name val="Aptos Narrow"/>
      <family val="2"/>
    </font>
    <font>
      <b/>
      <sz val="11"/>
      <color theme="1"/>
      <name val="Aptos Narrow"/>
      <family val="2"/>
      <scheme val="minor"/>
    </font>
    <font>
      <b/>
      <sz val="11"/>
      <color rgb="FF242424"/>
      <name val="Aptos Narrow"/>
      <family val="2"/>
    </font>
    <font>
      <b/>
      <sz val="11"/>
      <color rgb="FF000000"/>
      <name val="Aptos Narrow"/>
      <family val="2"/>
    </font>
    <font>
      <strike/>
      <sz val="11"/>
      <color rgb="FF000000"/>
      <name val="Aptos Narrow"/>
      <family val="2"/>
    </font>
    <font>
      <b/>
      <sz val="11"/>
      <color rgb="FF000000"/>
      <name val="Aptos Narrow"/>
      <family val="2"/>
      <scheme val="minor"/>
    </font>
    <font>
      <sz val="11"/>
      <color theme="1"/>
      <name val="Marlett"/>
      <charset val="2"/>
    </font>
    <font>
      <sz val="14"/>
      <color rgb="FFC00000"/>
      <name val="Marlett"/>
      <charset val="2"/>
    </font>
    <font>
      <sz val="20"/>
      <color rgb="FF275317"/>
      <name val="Marlett"/>
      <charset val="2"/>
    </font>
    <font>
      <sz val="20"/>
      <color theme="1"/>
      <name val="Marlett"/>
      <charset val="2"/>
    </font>
    <font>
      <sz val="10"/>
      <color theme="1"/>
      <name val="Marlett"/>
      <charset val="2"/>
    </font>
    <font>
      <sz val="12"/>
      <color theme="1"/>
      <name val="Marlett"/>
      <charset val="2"/>
    </font>
    <font>
      <sz val="20"/>
      <color theme="5"/>
      <name val="Marlett"/>
      <charset val="2"/>
    </font>
    <font>
      <b/>
      <sz val="11"/>
      <color rgb="FF000000"/>
      <name val="Aptos"/>
      <family val="2"/>
    </font>
    <font>
      <b/>
      <sz val="8"/>
      <color rgb="FF000000"/>
      <name val="Aptos"/>
      <family val="2"/>
    </font>
    <font>
      <b/>
      <sz val="11"/>
      <color rgb="FFFF0000"/>
      <name val="Aptos Narrow"/>
      <family val="2"/>
      <scheme val="minor"/>
    </font>
    <font>
      <sz val="11"/>
      <name val="Aptos Narrow"/>
      <family val="2"/>
      <scheme val="minor"/>
    </font>
    <font>
      <b/>
      <sz val="8"/>
      <name val="Aptos Narrow"/>
      <family val="2"/>
      <scheme val="minor"/>
    </font>
    <font>
      <b/>
      <sz val="10"/>
      <name val="Segoe UI"/>
      <family val="2"/>
    </font>
    <font>
      <sz val="10"/>
      <name val="Segoe UI"/>
      <family val="2"/>
    </font>
    <font>
      <i/>
      <sz val="10"/>
      <name val="Segoe UI"/>
      <family val="2"/>
    </font>
    <font>
      <sz val="11"/>
      <color rgb="FF242424"/>
      <name val="Aptos Narrow"/>
      <family val="2"/>
      <scheme val="minor"/>
    </font>
    <font>
      <sz val="11"/>
      <color theme="1"/>
      <name val="Segoe UI"/>
      <family val="2"/>
    </font>
    <font>
      <b/>
      <sz val="11"/>
      <color theme="1"/>
      <name val="Segoe UI"/>
      <family val="2"/>
    </font>
    <font>
      <sz val="10"/>
      <color theme="1"/>
      <name val="Arial Unicode MS"/>
    </font>
    <font>
      <i/>
      <sz val="11"/>
      <color theme="1"/>
      <name val="Segoe UI"/>
      <family val="2"/>
    </font>
    <font>
      <b/>
      <sz val="11"/>
      <color rgb="FFFF0000"/>
      <name val="Aptos"/>
      <family val="2"/>
    </font>
    <font>
      <sz val="11"/>
      <color rgb="FF000000"/>
      <name val="Aptos"/>
      <family val="2"/>
    </font>
    <font>
      <b/>
      <sz val="11"/>
      <name val="Aptos"/>
      <family val="2"/>
    </font>
    <font>
      <sz val="11"/>
      <name val="Aptos"/>
      <family val="2"/>
    </font>
    <font>
      <sz val="11"/>
      <name val="Aptos Narrow"/>
      <family val="2"/>
    </font>
    <font>
      <b/>
      <sz val="11"/>
      <name val="Aptos Narrow"/>
      <family val="2"/>
    </font>
    <font>
      <b/>
      <sz val="11"/>
      <name val="Aptos Narrow"/>
      <family val="2"/>
      <scheme val="minor"/>
    </font>
    <font>
      <sz val="10"/>
      <color theme="1"/>
      <name val="Aptos"/>
      <family val="2"/>
    </font>
    <font>
      <b/>
      <i/>
      <sz val="6"/>
      <color rgb="FF000000"/>
      <name val="Aptos Narrow"/>
      <family val="2"/>
    </font>
    <font>
      <sz val="6"/>
      <color rgb="FF000000"/>
      <name val="Aptos Narrow"/>
      <family val="2"/>
    </font>
    <font>
      <b/>
      <strike/>
      <sz val="11"/>
      <name val="Aptos Narrow"/>
      <family val="2"/>
      <scheme val="minor"/>
    </font>
    <font>
      <b/>
      <strike/>
      <sz val="11"/>
      <color rgb="FF000000"/>
      <name val="Aptos"/>
      <family val="2"/>
    </font>
  </fonts>
  <fills count="18">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rgb="FFFFFF0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F5F5F5"/>
        <bgColor indexed="64"/>
      </patternFill>
    </fill>
    <fill>
      <patternFill patternType="solid">
        <fgColor rgb="FFFF000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C000"/>
        <bgColor indexed="64"/>
      </patternFill>
    </fill>
    <fill>
      <patternFill patternType="solid">
        <fgColor rgb="FFF2CEEF"/>
        <bgColor indexed="64"/>
      </patternFill>
    </fill>
    <fill>
      <patternFill patternType="solid">
        <fgColor theme="7"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medium">
        <color rgb="FFE6E6E6"/>
      </left>
      <right style="medium">
        <color rgb="FFE6E6E6"/>
      </right>
      <top style="medium">
        <color rgb="FFE6E6E6"/>
      </top>
      <bottom style="medium">
        <color rgb="FFE6E6E6"/>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rgb="FF000000"/>
      </bottom>
      <diagonal/>
    </border>
    <border>
      <left/>
      <right/>
      <top style="thin">
        <color indexed="64"/>
      </top>
      <bottom style="thin">
        <color indexed="64"/>
      </bottom>
      <diagonal/>
    </border>
    <border>
      <left style="medium">
        <color rgb="FFE6E6E6"/>
      </left>
      <right style="medium">
        <color rgb="FFE6E6E6"/>
      </right>
      <top style="medium">
        <color rgb="FFE6E6E6"/>
      </top>
      <bottom/>
      <diagonal/>
    </border>
    <border>
      <left style="medium">
        <color rgb="FFE6E6E6"/>
      </left>
      <right style="medium">
        <color rgb="FFE6E6E6"/>
      </right>
      <top/>
      <bottom/>
      <diagonal/>
    </border>
    <border>
      <left style="medium">
        <color rgb="FFE6E6E6"/>
      </left>
      <right style="medium">
        <color rgb="FFE6E6E6"/>
      </right>
      <top/>
      <bottom style="medium">
        <color rgb="FFE6E6E6"/>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s>
  <cellStyleXfs count="2">
    <xf numFmtId="0" fontId="0" fillId="0" borderId="0"/>
    <xf numFmtId="0" fontId="7" fillId="0" borderId="0" applyNumberFormat="0" applyFill="0" applyBorder="0" applyAlignment="0" applyProtection="0"/>
  </cellStyleXfs>
  <cellXfs count="268">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horizontal="center"/>
    </xf>
    <xf numFmtId="0" fontId="0" fillId="0" borderId="1" xfId="0" applyBorder="1"/>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left" vertical="top"/>
    </xf>
    <xf numFmtId="0" fontId="8"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10" fillId="0" borderId="0" xfId="0" applyFont="1" applyAlignment="1">
      <alignment horizontal="center"/>
    </xf>
    <xf numFmtId="0" fontId="0" fillId="0" borderId="0" xfId="0" applyAlignment="1">
      <alignment horizontal="center" vertical="top"/>
    </xf>
    <xf numFmtId="164" fontId="0" fillId="0" borderId="0" xfId="0" applyNumberFormat="1" applyAlignment="1">
      <alignment horizontal="center"/>
    </xf>
    <xf numFmtId="164" fontId="1" fillId="0" borderId="1" xfId="0" applyNumberFormat="1" applyFont="1" applyBorder="1" applyAlignment="1">
      <alignment horizontal="center" vertical="center" wrapText="1"/>
    </xf>
    <xf numFmtId="0" fontId="0" fillId="0" borderId="1" xfId="0" applyBorder="1" applyAlignment="1">
      <alignment horizontal="center"/>
    </xf>
    <xf numFmtId="164" fontId="0" fillId="0" borderId="1" xfId="0" applyNumberForma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applyAlignment="1">
      <alignment vertical="center"/>
    </xf>
    <xf numFmtId="0" fontId="0" fillId="0" borderId="1" xfId="0" applyBorder="1" applyAlignment="1">
      <alignment horizontal="center" vertical="center"/>
    </xf>
    <xf numFmtId="6" fontId="0" fillId="0" borderId="1" xfId="0" applyNumberFormat="1" applyBorder="1" applyAlignment="1">
      <alignment horizontal="center" vertical="center"/>
    </xf>
    <xf numFmtId="9" fontId="0" fillId="0" borderId="1" xfId="0" applyNumberFormat="1" applyBorder="1" applyAlignment="1">
      <alignment vertical="center"/>
    </xf>
    <xf numFmtId="0" fontId="7" fillId="0" borderId="1" xfId="1" applyBorder="1" applyAlignment="1">
      <alignment vertical="center"/>
    </xf>
    <xf numFmtId="0" fontId="9" fillId="0" borderId="1" xfId="0" applyFont="1" applyBorder="1" applyAlignment="1">
      <alignment vertical="center"/>
    </xf>
    <xf numFmtId="0" fontId="11" fillId="0" borderId="1" xfId="0" applyFont="1" applyBorder="1" applyAlignment="1">
      <alignment vertical="center"/>
    </xf>
    <xf numFmtId="0" fontId="6" fillId="0" borderId="1" xfId="0" applyFont="1" applyBorder="1" applyAlignment="1">
      <alignment vertical="center"/>
    </xf>
    <xf numFmtId="0" fontId="4" fillId="0" borderId="1" xfId="0" applyFont="1" applyBorder="1" applyAlignment="1">
      <alignment vertical="center"/>
    </xf>
    <xf numFmtId="0" fontId="0" fillId="2" borderId="1" xfId="0" applyFill="1" applyBorder="1" applyAlignment="1">
      <alignment vertical="center"/>
    </xf>
    <xf numFmtId="49" fontId="0" fillId="0" borderId="1" xfId="0" applyNumberFormat="1" applyBorder="1" applyAlignment="1">
      <alignment vertical="center"/>
    </xf>
    <xf numFmtId="164" fontId="0" fillId="0" borderId="1" xfId="0" applyNumberFormat="1" applyBorder="1" applyAlignment="1">
      <alignment horizontal="center" vertical="center"/>
    </xf>
    <xf numFmtId="0" fontId="5" fillId="0" borderId="1" xfId="0" applyFont="1" applyBorder="1" applyAlignment="1">
      <alignment vertical="center"/>
    </xf>
    <xf numFmtId="0" fontId="0" fillId="2" borderId="1" xfId="0" applyFill="1" applyBorder="1" applyAlignment="1">
      <alignment horizontal="left" vertical="center"/>
    </xf>
    <xf numFmtId="0" fontId="15" fillId="0" borderId="0" xfId="0" applyFont="1"/>
    <xf numFmtId="0" fontId="0" fillId="4" borderId="1" xfId="0" applyFill="1" applyBorder="1" applyAlignment="1">
      <alignment vertical="center"/>
    </xf>
    <xf numFmtId="0" fontId="16" fillId="0" borderId="0" xfId="0" applyFont="1" applyAlignment="1">
      <alignment horizontal="left" indent="2"/>
    </xf>
    <xf numFmtId="0" fontId="15" fillId="0" borderId="0" xfId="0" applyFont="1" applyAlignment="1">
      <alignment horizontal="left" indent="2"/>
    </xf>
    <xf numFmtId="0" fontId="17" fillId="0" borderId="0" xfId="0" applyFont="1" applyAlignment="1">
      <alignment horizontal="left" indent="2"/>
    </xf>
    <xf numFmtId="0" fontId="0" fillId="0" borderId="2" xfId="0" applyBorder="1" applyAlignment="1">
      <alignment vertical="center"/>
    </xf>
    <xf numFmtId="0" fontId="0" fillId="4" borderId="1" xfId="0" applyFill="1" applyBorder="1" applyAlignment="1">
      <alignment horizontal="center" vertical="center"/>
    </xf>
    <xf numFmtId="0" fontId="0" fillId="6" borderId="1" xfId="0" applyFill="1" applyBorder="1" applyAlignment="1">
      <alignment vertical="center"/>
    </xf>
    <xf numFmtId="0" fontId="1" fillId="3" borderId="1" xfId="0" applyFont="1" applyFill="1" applyBorder="1" applyAlignment="1">
      <alignment horizontal="center" vertical="center"/>
    </xf>
    <xf numFmtId="164" fontId="1" fillId="3" borderId="1" xfId="0" applyNumberFormat="1" applyFont="1" applyFill="1" applyBorder="1" applyAlignment="1">
      <alignment horizontal="center" vertical="center"/>
    </xf>
    <xf numFmtId="0" fontId="1" fillId="4" borderId="1" xfId="0" applyFont="1" applyFill="1" applyBorder="1" applyAlignment="1">
      <alignment vertical="center"/>
    </xf>
    <xf numFmtId="0" fontId="12" fillId="2" borderId="1" xfId="0" applyFont="1" applyFill="1" applyBorder="1" applyAlignment="1">
      <alignment horizontal="left" vertical="center"/>
    </xf>
    <xf numFmtId="9" fontId="0" fillId="0" borderId="0" xfId="0" applyNumberFormat="1" applyAlignment="1">
      <alignment vertical="center"/>
    </xf>
    <xf numFmtId="0" fontId="15" fillId="5" borderId="0" xfId="0" applyFont="1" applyFill="1"/>
    <xf numFmtId="0" fontId="5" fillId="0" borderId="1" xfId="0" applyFont="1" applyBorder="1" applyAlignment="1">
      <alignment horizontal="center" vertical="center"/>
    </xf>
    <xf numFmtId="0" fontId="0" fillId="4" borderId="0" xfId="0" applyFill="1"/>
    <xf numFmtId="49" fontId="0" fillId="0" borderId="1" xfId="0" applyNumberFormat="1" applyBorder="1" applyAlignment="1">
      <alignment horizontal="center" vertical="center"/>
    </xf>
    <xf numFmtId="49" fontId="0" fillId="4" borderId="1" xfId="0" applyNumberFormat="1" applyFill="1" applyBorder="1" applyAlignment="1">
      <alignment vertical="center"/>
    </xf>
    <xf numFmtId="0" fontId="0" fillId="2" borderId="1" xfId="0" applyFill="1" applyBorder="1" applyAlignment="1">
      <alignment horizontal="center" vertical="center"/>
    </xf>
    <xf numFmtId="49" fontId="0" fillId="2" borderId="1" xfId="0" applyNumberFormat="1" applyFill="1" applyBorder="1" applyAlignment="1">
      <alignment vertical="center"/>
    </xf>
    <xf numFmtId="0" fontId="5" fillId="0" borderId="1" xfId="0" applyFont="1" applyBorder="1" applyAlignment="1">
      <alignment vertical="center" wrapText="1"/>
    </xf>
    <xf numFmtId="0" fontId="18" fillId="0" borderId="1" xfId="0" applyFont="1" applyBorder="1" applyAlignment="1">
      <alignment vertical="center"/>
    </xf>
    <xf numFmtId="0" fontId="11" fillId="0" borderId="1" xfId="0" applyFont="1" applyBorder="1" applyAlignment="1">
      <alignment horizontal="center" vertical="center"/>
    </xf>
    <xf numFmtId="0" fontId="11" fillId="0" borderId="0" xfId="0" applyFont="1"/>
    <xf numFmtId="0" fontId="11" fillId="0" borderId="1" xfId="0" applyFont="1" applyBorder="1"/>
    <xf numFmtId="0" fontId="9" fillId="7" borderId="0" xfId="0" applyFont="1" applyFill="1" applyAlignment="1">
      <alignment horizontal="center" vertical="center"/>
    </xf>
    <xf numFmtId="0" fontId="0" fillId="7" borderId="0" xfId="0" applyFill="1" applyAlignment="1">
      <alignment horizontal="center" vertical="center"/>
    </xf>
    <xf numFmtId="0" fontId="9" fillId="7" borderId="0" xfId="0" applyFont="1" applyFill="1" applyAlignment="1">
      <alignment horizontal="left" vertical="top" wrapText="1"/>
    </xf>
    <xf numFmtId="0" fontId="0" fillId="7" borderId="0" xfId="0" applyFill="1" applyAlignment="1">
      <alignment horizontal="center" vertical="top"/>
    </xf>
    <xf numFmtId="0" fontId="0" fillId="7" borderId="0" xfId="0" applyFill="1"/>
    <xf numFmtId="0" fontId="0" fillId="7" borderId="0" xfId="0" applyFill="1" applyAlignment="1">
      <alignment horizontal="left" vertical="top"/>
    </xf>
    <xf numFmtId="0" fontId="0" fillId="8" borderId="0" xfId="0" applyFill="1"/>
    <xf numFmtId="0" fontId="0" fillId="8" borderId="1" xfId="0" applyFill="1" applyBorder="1" applyAlignment="1">
      <alignment vertical="center"/>
    </xf>
    <xf numFmtId="0" fontId="0" fillId="8" borderId="1" xfId="0" applyFill="1" applyBorder="1" applyAlignment="1">
      <alignment horizontal="center" vertical="center"/>
    </xf>
    <xf numFmtId="6" fontId="0" fillId="8" borderId="1" xfId="0" applyNumberFormat="1" applyFill="1" applyBorder="1" applyAlignment="1">
      <alignment horizontal="center" vertical="center"/>
    </xf>
    <xf numFmtId="0" fontId="9" fillId="8" borderId="1" xfId="0" applyFont="1" applyFill="1" applyBorder="1" applyAlignment="1">
      <alignment vertical="center"/>
    </xf>
    <xf numFmtId="0" fontId="11" fillId="8" borderId="1" xfId="0" applyFont="1" applyFill="1" applyBorder="1" applyAlignment="1">
      <alignment vertical="center"/>
    </xf>
    <xf numFmtId="0" fontId="10" fillId="8" borderId="1" xfId="0" applyFont="1" applyFill="1" applyBorder="1" applyAlignment="1">
      <alignment vertical="center"/>
    </xf>
    <xf numFmtId="0" fontId="0" fillId="8" borderId="1" xfId="0" applyFill="1" applyBorder="1"/>
    <xf numFmtId="0" fontId="0" fillId="8" borderId="2" xfId="0" applyFill="1" applyBorder="1" applyAlignment="1">
      <alignment vertical="center"/>
    </xf>
    <xf numFmtId="0" fontId="0" fillId="8" borderId="0" xfId="0" applyFill="1" applyAlignment="1">
      <alignment vertical="center"/>
    </xf>
    <xf numFmtId="0" fontId="0" fillId="8" borderId="0" xfId="0" applyFill="1" applyAlignment="1">
      <alignment horizontal="center" vertical="center"/>
    </xf>
    <xf numFmtId="0" fontId="0" fillId="7" borderId="1" xfId="0" applyFill="1" applyBorder="1" applyAlignment="1">
      <alignment vertical="center"/>
    </xf>
    <xf numFmtId="0" fontId="7" fillId="7" borderId="1" xfId="1" applyFill="1" applyBorder="1" applyAlignment="1">
      <alignment vertical="center" wrapText="1"/>
    </xf>
    <xf numFmtId="0" fontId="0" fillId="7" borderId="1" xfId="0" applyFill="1" applyBorder="1" applyAlignment="1">
      <alignment horizontal="center" vertical="center"/>
    </xf>
    <xf numFmtId="6" fontId="0" fillId="7" borderId="1" xfId="0" applyNumberFormat="1" applyFill="1" applyBorder="1" applyAlignment="1">
      <alignment horizontal="center" vertical="center"/>
    </xf>
    <xf numFmtId="0" fontId="15" fillId="7" borderId="0" xfId="0" applyFont="1" applyFill="1"/>
    <xf numFmtId="0" fontId="15" fillId="8" borderId="0" xfId="0" applyFont="1" applyFill="1"/>
    <xf numFmtId="0" fontId="0" fillId="0" borderId="1" xfId="0" applyBorder="1" applyAlignment="1">
      <alignment vertical="center" wrapText="1"/>
    </xf>
    <xf numFmtId="0" fontId="7" fillId="0" borderId="1" xfId="1" applyBorder="1" applyAlignment="1">
      <alignment vertical="center" wrapText="1"/>
    </xf>
    <xf numFmtId="0" fontId="22" fillId="5" borderId="3" xfId="0" applyFont="1" applyFill="1" applyBorder="1" applyAlignment="1">
      <alignment horizontal="center" vertical="center"/>
    </xf>
    <xf numFmtId="0" fontId="0" fillId="5" borderId="0" xfId="0" applyFill="1"/>
    <xf numFmtId="0" fontId="0" fillId="5" borderId="0" xfId="0" applyFill="1" applyAlignment="1">
      <alignment horizontal="center"/>
    </xf>
    <xf numFmtId="0" fontId="0" fillId="5" borderId="0" xfId="0" applyFill="1" applyAlignment="1">
      <alignment horizontal="left"/>
    </xf>
    <xf numFmtId="0" fontId="0" fillId="9" borderId="0" xfId="0" applyFill="1"/>
    <xf numFmtId="0" fontId="0" fillId="10" borderId="0" xfId="0" applyFill="1"/>
    <xf numFmtId="0" fontId="20" fillId="5" borderId="3" xfId="0" applyFont="1" applyFill="1" applyBorder="1"/>
    <xf numFmtId="0" fontId="0" fillId="5" borderId="3" xfId="0" applyFill="1" applyBorder="1"/>
    <xf numFmtId="0" fontId="20" fillId="5" borderId="3" xfId="0" applyFont="1" applyFill="1" applyBorder="1" applyAlignment="1">
      <alignment vertical="center"/>
    </xf>
    <xf numFmtId="0" fontId="1" fillId="0" borderId="3" xfId="0" applyFont="1" applyBorder="1" applyAlignment="1">
      <alignment horizontal="center" vertical="center"/>
    </xf>
    <xf numFmtId="0" fontId="1" fillId="9" borderId="3" xfId="0" applyFont="1" applyFill="1" applyBorder="1" applyAlignment="1">
      <alignment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9" fillId="5" borderId="3" xfId="0" applyFont="1" applyFill="1" applyBorder="1" applyAlignment="1">
      <alignment horizontal="left" vertical="center" wrapText="1"/>
    </xf>
    <xf numFmtId="0" fontId="19" fillId="5" borderId="3" xfId="0" applyFont="1" applyFill="1" applyBorder="1" applyAlignment="1">
      <alignment horizontal="center" vertical="center"/>
    </xf>
    <xf numFmtId="0" fontId="1" fillId="10" borderId="3" xfId="0" applyFont="1" applyFill="1" applyBorder="1" applyAlignment="1">
      <alignment horizontal="center" vertical="center"/>
    </xf>
    <xf numFmtId="0" fontId="1" fillId="7" borderId="3" xfId="0" applyFont="1" applyFill="1" applyBorder="1" applyAlignment="1">
      <alignment horizontal="center" vertical="center"/>
    </xf>
    <xf numFmtId="0" fontId="0" fillId="0" borderId="3" xfId="0" applyBorder="1" applyAlignment="1">
      <alignment vertical="center"/>
    </xf>
    <xf numFmtId="0" fontId="0" fillId="9" borderId="3" xfId="0" applyFill="1" applyBorder="1" applyAlignment="1">
      <alignment vertical="center"/>
    </xf>
    <xf numFmtId="0" fontId="0" fillId="5" borderId="3" xfId="0" applyFill="1" applyBorder="1" applyAlignment="1">
      <alignment horizontal="center" vertical="center"/>
    </xf>
    <xf numFmtId="0" fontId="9" fillId="5" borderId="3" xfId="0" applyFont="1" applyFill="1" applyBorder="1" applyAlignment="1">
      <alignment horizontal="left" vertical="center" wrapText="1"/>
    </xf>
    <xf numFmtId="0" fontId="9" fillId="5" borderId="3" xfId="0" applyFont="1" applyFill="1" applyBorder="1" applyAlignment="1">
      <alignment horizontal="center" vertical="center" wrapText="1"/>
    </xf>
    <xf numFmtId="14" fontId="9" fillId="5" borderId="3" xfId="0" applyNumberFormat="1" applyFont="1" applyFill="1" applyBorder="1" applyAlignment="1">
      <alignment horizontal="center" vertical="center"/>
    </xf>
    <xf numFmtId="0" fontId="23" fillId="10" borderId="3" xfId="0" applyFont="1" applyFill="1" applyBorder="1"/>
    <xf numFmtId="0" fontId="0" fillId="10" borderId="3" xfId="0" applyFill="1" applyBorder="1"/>
    <xf numFmtId="0" fontId="25" fillId="7" borderId="3" xfId="0" applyFont="1" applyFill="1" applyBorder="1" applyAlignment="1">
      <alignment horizontal="center" vertical="center"/>
    </xf>
    <xf numFmtId="0" fontId="0" fillId="7" borderId="3" xfId="0" applyFill="1" applyBorder="1"/>
    <xf numFmtId="0" fontId="0" fillId="9" borderId="3" xfId="0" applyFill="1" applyBorder="1"/>
    <xf numFmtId="0" fontId="0" fillId="5" borderId="3" xfId="0" applyFill="1" applyBorder="1" applyAlignment="1">
      <alignment horizontal="center"/>
    </xf>
    <xf numFmtId="0" fontId="0" fillId="5" borderId="3" xfId="0" applyFill="1" applyBorder="1" applyAlignment="1">
      <alignment horizontal="left"/>
    </xf>
    <xf numFmtId="0" fontId="0" fillId="10" borderId="3" xfId="0" applyFill="1" applyBorder="1" applyAlignment="1">
      <alignment vertical="top" wrapText="1"/>
    </xf>
    <xf numFmtId="0" fontId="9" fillId="9" borderId="3" xfId="0" applyFont="1" applyFill="1" applyBorder="1" applyAlignment="1">
      <alignment vertical="center"/>
    </xf>
    <xf numFmtId="0" fontId="24" fillId="7" borderId="3" xfId="0" applyFont="1" applyFill="1" applyBorder="1" applyAlignment="1">
      <alignment horizontal="center" vertical="center"/>
    </xf>
    <xf numFmtId="0" fontId="0" fillId="5" borderId="3" xfId="0" applyFill="1" applyBorder="1" applyAlignment="1">
      <alignment horizontal="left" vertical="center"/>
    </xf>
    <xf numFmtId="0" fontId="0" fillId="5" borderId="3" xfId="0" applyFill="1" applyBorder="1" applyAlignment="1">
      <alignment horizontal="left" vertical="center" wrapText="1"/>
    </xf>
    <xf numFmtId="14" fontId="0" fillId="5" borderId="3" xfId="0" applyNumberFormat="1" applyFill="1" applyBorder="1" applyAlignment="1">
      <alignment horizontal="center" vertical="center"/>
    </xf>
    <xf numFmtId="0" fontId="9" fillId="5" borderId="3" xfId="0" applyFont="1" applyFill="1" applyBorder="1" applyAlignment="1">
      <alignment vertical="center" wrapText="1"/>
    </xf>
    <xf numFmtId="0" fontId="9" fillId="5" borderId="3" xfId="0" applyFont="1" applyFill="1" applyBorder="1" applyAlignment="1">
      <alignment horizontal="center" vertical="center"/>
    </xf>
    <xf numFmtId="0" fontId="0" fillId="10" borderId="3" xfId="0" applyFill="1" applyBorder="1" applyAlignment="1">
      <alignment wrapText="1"/>
    </xf>
    <xf numFmtId="0" fontId="0" fillId="5" borderId="3" xfId="0" applyFill="1" applyBorder="1" applyAlignment="1">
      <alignment horizontal="center" vertical="center" wrapText="1"/>
    </xf>
    <xf numFmtId="49" fontId="0" fillId="9" borderId="3" xfId="0" applyNumberFormat="1" applyFill="1" applyBorder="1" applyAlignment="1">
      <alignment vertical="center"/>
    </xf>
    <xf numFmtId="49" fontId="0" fillId="5" borderId="3" xfId="0" applyNumberFormat="1" applyFill="1" applyBorder="1" applyAlignment="1">
      <alignment horizontal="center" vertical="center"/>
    </xf>
    <xf numFmtId="0" fontId="9" fillId="5" borderId="3" xfId="0" applyFont="1" applyFill="1" applyBorder="1" applyAlignment="1">
      <alignment vertical="center"/>
    </xf>
    <xf numFmtId="0" fontId="23" fillId="10" borderId="3" xfId="0" applyFont="1" applyFill="1" applyBorder="1" applyAlignment="1">
      <alignment vertical="center"/>
    </xf>
    <xf numFmtId="0" fontId="0" fillId="10" borderId="3" xfId="0" applyFill="1" applyBorder="1" applyAlignment="1">
      <alignment vertical="center"/>
    </xf>
    <xf numFmtId="0" fontId="0" fillId="7" borderId="3" xfId="0" applyFill="1" applyBorder="1" applyAlignment="1">
      <alignment vertical="center"/>
    </xf>
    <xf numFmtId="0" fontId="5" fillId="0" borderId="3" xfId="0" applyFont="1" applyBorder="1" applyAlignment="1">
      <alignment vertical="center"/>
    </xf>
    <xf numFmtId="0" fontId="5" fillId="9" borderId="3" xfId="0" applyFont="1" applyFill="1" applyBorder="1" applyAlignment="1">
      <alignment vertical="center"/>
    </xf>
    <xf numFmtId="0" fontId="5" fillId="5" borderId="3" xfId="0" applyFont="1" applyFill="1" applyBorder="1" applyAlignment="1">
      <alignment horizontal="center" vertical="center"/>
    </xf>
    <xf numFmtId="0" fontId="0" fillId="7" borderId="3" xfId="0" applyFill="1" applyBorder="1" applyAlignment="1">
      <alignment horizontal="center" vertical="center"/>
    </xf>
    <xf numFmtId="0" fontId="7" fillId="0" borderId="4" xfId="1" applyBorder="1" applyAlignment="1">
      <alignment vertical="center" wrapText="1"/>
    </xf>
    <xf numFmtId="0" fontId="19" fillId="5" borderId="3" xfId="0" applyFont="1" applyFill="1" applyBorder="1" applyAlignment="1">
      <alignment vertical="center"/>
    </xf>
    <xf numFmtId="0" fontId="0" fillId="5" borderId="3" xfId="0" applyFill="1" applyBorder="1" applyAlignment="1">
      <alignment vertical="center" wrapText="1"/>
    </xf>
    <xf numFmtId="0" fontId="0" fillId="5" borderId="3" xfId="0" applyFill="1" applyBorder="1" applyAlignment="1">
      <alignment vertical="center"/>
    </xf>
    <xf numFmtId="0" fontId="26" fillId="5" borderId="3" xfId="0" applyFont="1" applyFill="1" applyBorder="1" applyAlignment="1">
      <alignment horizontal="center" vertical="center"/>
    </xf>
    <xf numFmtId="0" fontId="0" fillId="5" borderId="5" xfId="0" applyFill="1" applyBorder="1" applyAlignment="1">
      <alignment horizontal="center" vertical="center"/>
    </xf>
    <xf numFmtId="0" fontId="0" fillId="10" borderId="5" xfId="0" applyFill="1" applyBorder="1"/>
    <xf numFmtId="0" fontId="0" fillId="7" borderId="5" xfId="0" applyFill="1" applyBorder="1"/>
    <xf numFmtId="0" fontId="0" fillId="10" borderId="6" xfId="0" applyFill="1" applyBorder="1"/>
    <xf numFmtId="0" fontId="25" fillId="7" borderId="6" xfId="0" applyFont="1" applyFill="1" applyBorder="1" applyAlignment="1">
      <alignment horizontal="center" vertical="center"/>
    </xf>
    <xf numFmtId="0" fontId="0" fillId="0" borderId="7" xfId="0" applyBorder="1" applyAlignment="1">
      <alignment vertical="center"/>
    </xf>
    <xf numFmtId="0" fontId="0" fillId="9" borderId="7" xfId="0" applyFill="1" applyBorder="1" applyAlignment="1">
      <alignment vertical="center"/>
    </xf>
    <xf numFmtId="0" fontId="20" fillId="5" borderId="7" xfId="0" applyFont="1" applyFill="1" applyBorder="1"/>
    <xf numFmtId="0" fontId="23" fillId="10" borderId="7" xfId="0" applyFont="1" applyFill="1" applyBorder="1"/>
    <xf numFmtId="0" fontId="25" fillId="7" borderId="7" xfId="0" applyFont="1" applyFill="1" applyBorder="1" applyAlignment="1">
      <alignment horizontal="center" vertical="center"/>
    </xf>
    <xf numFmtId="0" fontId="0" fillId="0" borderId="8" xfId="0" applyBorder="1" applyAlignment="1">
      <alignment vertical="center"/>
    </xf>
    <xf numFmtId="0" fontId="0" fillId="9" borderId="8" xfId="0" applyFill="1" applyBorder="1" applyAlignment="1">
      <alignment vertical="center"/>
    </xf>
    <xf numFmtId="0" fontId="20" fillId="5" borderId="8" xfId="0" applyFont="1" applyFill="1" applyBorder="1"/>
    <xf numFmtId="0" fontId="23" fillId="10" borderId="8" xfId="0" applyFont="1" applyFill="1" applyBorder="1"/>
    <xf numFmtId="0" fontId="25" fillId="7" borderId="8" xfId="0" applyFont="1" applyFill="1" applyBorder="1" applyAlignment="1">
      <alignment horizontal="center" vertical="center"/>
    </xf>
    <xf numFmtId="0" fontId="20" fillId="5" borderId="1" xfId="0" applyFont="1" applyFill="1" applyBorder="1"/>
    <xf numFmtId="0" fontId="23" fillId="10" borderId="1" xfId="0" applyFont="1" applyFill="1" applyBorder="1"/>
    <xf numFmtId="0" fontId="25" fillId="7" borderId="1" xfId="0" applyFont="1" applyFill="1" applyBorder="1" applyAlignment="1">
      <alignment horizontal="center" vertical="center"/>
    </xf>
    <xf numFmtId="0" fontId="15" fillId="13" borderId="3" xfId="0" applyFont="1" applyFill="1" applyBorder="1" applyAlignment="1">
      <alignment horizontal="center" vertical="center"/>
    </xf>
    <xf numFmtId="0" fontId="15" fillId="6" borderId="3" xfId="0" applyFont="1" applyFill="1" applyBorder="1" applyAlignment="1">
      <alignment horizontal="center" vertical="center"/>
    </xf>
    <xf numFmtId="0" fontId="15" fillId="12" borderId="3" xfId="0" applyFont="1" applyFill="1" applyBorder="1" applyAlignment="1">
      <alignment horizontal="center" vertical="center"/>
    </xf>
    <xf numFmtId="0" fontId="0" fillId="9" borderId="9" xfId="0" applyFill="1" applyBorder="1" applyAlignment="1">
      <alignment vertical="center"/>
    </xf>
    <xf numFmtId="0" fontId="7" fillId="9" borderId="10" xfId="1" applyFill="1" applyBorder="1" applyAlignment="1">
      <alignment vertical="center" wrapText="1"/>
    </xf>
    <xf numFmtId="0" fontId="0" fillId="9" borderId="10" xfId="0" applyFill="1" applyBorder="1" applyAlignment="1">
      <alignment vertical="center" wrapText="1"/>
    </xf>
    <xf numFmtId="0" fontId="6" fillId="9" borderId="10" xfId="0" applyFont="1" applyFill="1" applyBorder="1" applyAlignment="1">
      <alignment vertical="center" wrapText="1"/>
    </xf>
    <xf numFmtId="0" fontId="31" fillId="9" borderId="1" xfId="0" applyFont="1" applyFill="1" applyBorder="1" applyAlignment="1">
      <alignment horizontal="left" vertical="center" readingOrder="1"/>
    </xf>
    <xf numFmtId="0" fontId="20" fillId="5" borderId="9" xfId="0" applyFont="1" applyFill="1" applyBorder="1"/>
    <xf numFmtId="0" fontId="21" fillId="5" borderId="9" xfId="0" applyFont="1" applyFill="1" applyBorder="1" applyAlignment="1">
      <alignment horizontal="center" vertical="center"/>
    </xf>
    <xf numFmtId="0" fontId="22" fillId="5" borderId="9" xfId="0" applyFont="1" applyFill="1" applyBorder="1" applyAlignment="1">
      <alignment horizontal="center" vertical="center"/>
    </xf>
    <xf numFmtId="0" fontId="15" fillId="5" borderId="6" xfId="0" applyFont="1" applyFill="1" applyBorder="1" applyAlignment="1">
      <alignment horizontal="left" vertical="center"/>
    </xf>
    <xf numFmtId="0" fontId="29" fillId="5" borderId="6" xfId="0" applyFont="1" applyFill="1" applyBorder="1" applyAlignment="1">
      <alignment horizontal="left" vertical="center"/>
    </xf>
    <xf numFmtId="49" fontId="27" fillId="14" borderId="1" xfId="0" quotePrefix="1" applyNumberFormat="1" applyFont="1" applyFill="1" applyBorder="1" applyAlignment="1">
      <alignment horizontal="center" vertical="center" wrapText="1" readingOrder="1"/>
    </xf>
    <xf numFmtId="49" fontId="27" fillId="6" borderId="1" xfId="0" applyNumberFormat="1" applyFont="1" applyFill="1" applyBorder="1" applyAlignment="1">
      <alignment horizontal="center" vertical="center" wrapText="1" readingOrder="1"/>
    </xf>
    <xf numFmtId="0" fontId="27" fillId="6" borderId="1" xfId="0" applyFont="1" applyFill="1" applyBorder="1" applyAlignment="1">
      <alignment horizontal="center" vertical="center" wrapText="1" readingOrder="1"/>
    </xf>
    <xf numFmtId="0" fontId="27" fillId="4" borderId="1" xfId="0" applyFont="1" applyFill="1" applyBorder="1" applyAlignment="1">
      <alignment horizontal="center" vertical="center" wrapText="1" readingOrder="1"/>
    </xf>
    <xf numFmtId="0" fontId="0" fillId="7" borderId="1" xfId="0" applyFill="1" applyBorder="1"/>
    <xf numFmtId="0" fontId="32" fillId="11" borderId="4" xfId="0" applyFont="1" applyFill="1" applyBorder="1" applyAlignment="1">
      <alignment horizontal="center" vertical="center" wrapText="1"/>
    </xf>
    <xf numFmtId="0" fontId="33" fillId="0" borderId="4" xfId="0" applyFont="1" applyBorder="1" applyAlignment="1">
      <alignment vertical="center" wrapText="1"/>
    </xf>
    <xf numFmtId="0" fontId="34" fillId="0" borderId="4" xfId="0" applyFont="1" applyBorder="1" applyAlignment="1">
      <alignment vertical="center" wrapText="1"/>
    </xf>
    <xf numFmtId="0" fontId="32" fillId="0" borderId="4" xfId="0" applyFont="1" applyBorder="1" applyAlignment="1">
      <alignment vertical="center" wrapText="1"/>
    </xf>
    <xf numFmtId="0" fontId="35" fillId="0" borderId="0" xfId="0" applyFont="1"/>
    <xf numFmtId="0" fontId="9" fillId="0" borderId="11" xfId="0" applyFont="1" applyBorder="1" applyAlignment="1">
      <alignment wrapText="1"/>
    </xf>
    <xf numFmtId="0" fontId="9" fillId="0" borderId="2" xfId="0" applyFont="1" applyBorder="1" applyAlignment="1">
      <alignment wrapText="1"/>
    </xf>
    <xf numFmtId="0" fontId="9" fillId="0" borderId="12" xfId="0" applyFont="1" applyBorder="1" applyAlignment="1">
      <alignment wrapText="1"/>
    </xf>
    <xf numFmtId="0" fontId="7" fillId="0" borderId="12" xfId="1" applyBorder="1" applyAlignment="1">
      <alignment wrapText="1"/>
    </xf>
    <xf numFmtId="0" fontId="0" fillId="4" borderId="3" xfId="0" applyFill="1" applyBorder="1" applyAlignment="1">
      <alignment vertical="center"/>
    </xf>
    <xf numFmtId="0" fontId="0" fillId="0" borderId="4" xfId="0" applyBorder="1"/>
    <xf numFmtId="0" fontId="33" fillId="0" borderId="1" xfId="0" applyFont="1" applyBorder="1" applyAlignment="1">
      <alignment vertical="center" wrapText="1"/>
    </xf>
    <xf numFmtId="0" fontId="32" fillId="0" borderId="1" xfId="0" applyFont="1" applyBorder="1" applyAlignment="1">
      <alignment vertical="center" wrapText="1"/>
    </xf>
    <xf numFmtId="0" fontId="34" fillId="0" borderId="1" xfId="0" applyFont="1" applyBorder="1" applyAlignment="1">
      <alignment vertical="center" wrapText="1"/>
    </xf>
    <xf numFmtId="0" fontId="37" fillId="11" borderId="4" xfId="0" applyFont="1" applyFill="1" applyBorder="1" applyAlignment="1">
      <alignment horizontal="center" vertical="center" wrapText="1"/>
    </xf>
    <xf numFmtId="0" fontId="36" fillId="0" borderId="4" xfId="0" applyFont="1" applyBorder="1" applyAlignment="1">
      <alignment vertical="center" wrapText="1"/>
    </xf>
    <xf numFmtId="0" fontId="42" fillId="9" borderId="1" xfId="0" applyFont="1" applyFill="1" applyBorder="1" applyAlignment="1">
      <alignment horizontal="left" vertical="center" readingOrder="1"/>
    </xf>
    <xf numFmtId="0" fontId="46" fillId="9" borderId="1" xfId="0" applyFont="1" applyFill="1" applyBorder="1" applyAlignment="1">
      <alignment horizontal="left" vertical="center" readingOrder="1"/>
    </xf>
    <xf numFmtId="0" fontId="45" fillId="9" borderId="1" xfId="0" applyFont="1" applyFill="1" applyBorder="1" applyAlignment="1">
      <alignment horizontal="left" vertical="center" readingOrder="1"/>
    </xf>
    <xf numFmtId="0" fontId="39" fillId="0" borderId="4" xfId="0" applyFont="1" applyBorder="1" applyAlignment="1">
      <alignment vertical="center" wrapText="1"/>
    </xf>
    <xf numFmtId="0" fontId="30" fillId="0" borderId="1" xfId="0" applyFont="1" applyBorder="1" applyAlignment="1">
      <alignment vertical="center"/>
    </xf>
    <xf numFmtId="0" fontId="19" fillId="5" borderId="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36" fillId="0" borderId="15" xfId="0" applyFont="1" applyBorder="1" applyAlignment="1">
      <alignment vertical="center" wrapText="1"/>
    </xf>
    <xf numFmtId="0" fontId="0" fillId="0" borderId="16" xfId="0" applyBorder="1" applyAlignment="1">
      <alignment horizontal="left" vertical="center" wrapText="1" indent="1"/>
    </xf>
    <xf numFmtId="0" fontId="37" fillId="0" borderId="16" xfId="0" applyFont="1" applyBorder="1" applyAlignment="1">
      <alignment horizontal="left" vertical="center" wrapText="1" indent="1"/>
    </xf>
    <xf numFmtId="0" fontId="0" fillId="0" borderId="17" xfId="0" applyBorder="1" applyAlignment="1">
      <alignment vertical="center" wrapText="1"/>
    </xf>
    <xf numFmtId="0" fontId="47" fillId="0" borderId="1" xfId="0" applyFont="1" applyBorder="1"/>
    <xf numFmtId="0" fontId="27" fillId="9" borderId="1" xfId="0" applyFont="1" applyFill="1" applyBorder="1" applyAlignment="1">
      <alignment horizontal="left" vertical="center" readingOrder="1"/>
    </xf>
    <xf numFmtId="0" fontId="28" fillId="6" borderId="1" xfId="0" applyFont="1" applyFill="1" applyBorder="1" applyAlignment="1">
      <alignment horizontal="center" vertical="center" wrapText="1" readingOrder="1"/>
    </xf>
    <xf numFmtId="0" fontId="27" fillId="4" borderId="3" xfId="0" applyFont="1" applyFill="1" applyBorder="1" applyAlignment="1">
      <alignment horizontal="center" vertical="center" wrapText="1" readingOrder="1"/>
    </xf>
    <xf numFmtId="0" fontId="28" fillId="6" borderId="3" xfId="0" applyFont="1" applyFill="1" applyBorder="1" applyAlignment="1">
      <alignment horizontal="center" vertical="center" wrapText="1" readingOrder="1"/>
    </xf>
    <xf numFmtId="0" fontId="27" fillId="15" borderId="3" xfId="0" applyFont="1" applyFill="1" applyBorder="1" applyAlignment="1">
      <alignment horizontal="center" vertical="center" wrapText="1" readingOrder="1"/>
    </xf>
    <xf numFmtId="0" fontId="27" fillId="6" borderId="3" xfId="0" applyFont="1" applyFill="1" applyBorder="1" applyAlignment="1">
      <alignment horizontal="center" vertical="center" wrapText="1" readingOrder="1"/>
    </xf>
    <xf numFmtId="49" fontId="27" fillId="6" borderId="3" xfId="0" applyNumberFormat="1" applyFont="1" applyFill="1" applyBorder="1" applyAlignment="1">
      <alignment horizontal="center" vertical="center" wrapText="1" readingOrder="1"/>
    </xf>
    <xf numFmtId="49" fontId="27" fillId="14" borderId="3" xfId="0" quotePrefix="1" applyNumberFormat="1" applyFont="1" applyFill="1" applyBorder="1" applyAlignment="1">
      <alignment horizontal="center" vertical="center" wrapText="1" readingOrder="1"/>
    </xf>
    <xf numFmtId="0" fontId="0" fillId="5" borderId="18" xfId="0" applyFill="1" applyBorder="1" applyAlignment="1">
      <alignment horizontal="center" vertical="center"/>
    </xf>
    <xf numFmtId="0" fontId="0" fillId="5" borderId="19" xfId="0" applyFill="1" applyBorder="1" applyAlignment="1">
      <alignment horizontal="center" vertical="center"/>
    </xf>
    <xf numFmtId="0" fontId="28" fillId="6" borderId="9" xfId="0" applyFont="1" applyFill="1" applyBorder="1" applyAlignment="1">
      <alignment horizontal="center" vertical="center" wrapText="1" readingOrder="1"/>
    </xf>
    <xf numFmtId="0" fontId="27" fillId="15" borderId="9" xfId="0" applyFont="1" applyFill="1" applyBorder="1" applyAlignment="1">
      <alignment horizontal="center" vertical="center" wrapText="1" readingOrder="1"/>
    </xf>
    <xf numFmtId="0" fontId="27" fillId="6" borderId="9" xfId="0" applyFont="1" applyFill="1" applyBorder="1" applyAlignment="1">
      <alignment horizontal="center" vertical="center" wrapText="1" readingOrder="1"/>
    </xf>
    <xf numFmtId="49" fontId="27" fillId="6" borderId="9" xfId="0" applyNumberFormat="1" applyFont="1" applyFill="1" applyBorder="1" applyAlignment="1">
      <alignment horizontal="center" vertical="center" wrapText="1" readingOrder="1"/>
    </xf>
    <xf numFmtId="49" fontId="27" fillId="14" borderId="9" xfId="0" quotePrefix="1" applyNumberFormat="1" applyFont="1" applyFill="1" applyBorder="1" applyAlignment="1">
      <alignment horizontal="center" vertical="center" wrapText="1" readingOrder="1"/>
    </xf>
    <xf numFmtId="0" fontId="0" fillId="5" borderId="5" xfId="0" applyFill="1" applyBorder="1" applyAlignment="1">
      <alignment horizontal="center"/>
    </xf>
    <xf numFmtId="0" fontId="0" fillId="5" borderId="6" xfId="0" applyFill="1" applyBorder="1" applyAlignment="1">
      <alignment horizontal="center" vertical="center"/>
    </xf>
    <xf numFmtId="0" fontId="0" fillId="5" borderId="6" xfId="0" applyFill="1" applyBorder="1" applyAlignment="1">
      <alignment vertical="center"/>
    </xf>
    <xf numFmtId="0" fontId="0" fillId="5" borderId="6" xfId="0" applyFill="1" applyBorder="1" applyAlignment="1">
      <alignment vertical="center" wrapText="1"/>
    </xf>
    <xf numFmtId="0" fontId="9" fillId="5" borderId="6" xfId="0" applyFont="1" applyFill="1" applyBorder="1" applyAlignment="1">
      <alignment vertical="center"/>
    </xf>
    <xf numFmtId="0" fontId="9" fillId="5" borderId="6" xfId="0" applyFont="1" applyFill="1" applyBorder="1" applyAlignment="1">
      <alignment vertical="center" wrapText="1"/>
    </xf>
    <xf numFmtId="0" fontId="0" fillId="5" borderId="6" xfId="0" applyFill="1" applyBorder="1" applyAlignment="1">
      <alignment horizontal="left"/>
    </xf>
    <xf numFmtId="0" fontId="0" fillId="9" borderId="0" xfId="0" applyFill="1" applyAlignment="1">
      <alignment vertical="center"/>
    </xf>
    <xf numFmtId="49" fontId="27" fillId="14" borderId="6" xfId="0" quotePrefix="1" applyNumberFormat="1" applyFont="1" applyFill="1" applyBorder="1" applyAlignment="1">
      <alignment horizontal="center" vertical="center" wrapText="1" readingOrder="1"/>
    </xf>
    <xf numFmtId="0" fontId="0" fillId="5" borderId="6" xfId="0" applyFill="1" applyBorder="1" applyAlignment="1">
      <alignment horizontal="center"/>
    </xf>
    <xf numFmtId="0" fontId="48" fillId="16" borderId="23" xfId="0" applyFont="1" applyFill="1" applyBorder="1" applyAlignment="1">
      <alignment horizontal="center" vertical="center" wrapText="1"/>
    </xf>
    <xf numFmtId="0" fontId="48" fillId="16" borderId="24" xfId="0" applyFont="1" applyFill="1" applyBorder="1" applyAlignment="1">
      <alignment horizontal="center" vertical="center" wrapText="1"/>
    </xf>
    <xf numFmtId="0" fontId="48" fillId="16" borderId="25" xfId="0" applyFont="1" applyFill="1" applyBorder="1" applyAlignment="1">
      <alignment horizontal="center" vertical="center" wrapText="1"/>
    </xf>
    <xf numFmtId="0" fontId="17" fillId="16" borderId="20" xfId="0" applyFont="1" applyFill="1" applyBorder="1" applyAlignment="1">
      <alignment horizontal="center" vertical="center" wrapText="1"/>
    </xf>
    <xf numFmtId="0" fontId="17" fillId="16" borderId="21" xfId="0" applyFont="1" applyFill="1" applyBorder="1" applyAlignment="1">
      <alignment horizontal="center" vertical="center" wrapText="1"/>
    </xf>
    <xf numFmtId="0" fontId="17" fillId="16" borderId="22"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7" borderId="0" xfId="0" applyFill="1" applyAlignment="1">
      <alignment vertical="center"/>
    </xf>
    <xf numFmtId="0" fontId="27" fillId="17" borderId="6" xfId="0" applyFont="1" applyFill="1" applyBorder="1" applyAlignment="1">
      <alignment horizontal="center" vertical="center" wrapText="1" readingOrder="1"/>
    </xf>
    <xf numFmtId="0" fontId="28" fillId="17" borderId="6" xfId="0" applyFont="1" applyFill="1" applyBorder="1" applyAlignment="1">
      <alignment horizontal="center" vertical="center" wrapText="1" readingOrder="1"/>
    </xf>
    <xf numFmtId="49" fontId="27" fillId="17" borderId="6" xfId="0" applyNumberFormat="1" applyFont="1" applyFill="1" applyBorder="1" applyAlignment="1">
      <alignment horizontal="center" vertical="center" wrapText="1" readingOrder="1"/>
    </xf>
    <xf numFmtId="0" fontId="27" fillId="6" borderId="6" xfId="0" applyFont="1" applyFill="1" applyBorder="1" applyAlignment="1">
      <alignment horizontal="center" vertical="center" wrapText="1" readingOrder="1"/>
    </xf>
    <xf numFmtId="0" fontId="17" fillId="16" borderId="26" xfId="0" applyFont="1" applyFill="1" applyBorder="1" applyAlignment="1">
      <alignment horizontal="center" vertical="center" wrapText="1"/>
    </xf>
    <xf numFmtId="0" fontId="48" fillId="16" borderId="27" xfId="0" applyFont="1" applyFill="1" applyBorder="1" applyAlignment="1">
      <alignment horizontal="center" vertical="center" wrapText="1"/>
    </xf>
    <xf numFmtId="0" fontId="20" fillId="5" borderId="14" xfId="0" applyFont="1" applyFill="1" applyBorder="1"/>
    <xf numFmtId="0" fontId="27" fillId="4" borderId="6" xfId="0" applyFont="1" applyFill="1" applyBorder="1" applyAlignment="1">
      <alignment horizontal="center" vertical="center" wrapText="1" readingOrder="1"/>
    </xf>
    <xf numFmtId="49" fontId="27" fillId="6" borderId="6" xfId="0" applyNumberFormat="1" applyFont="1" applyFill="1" applyBorder="1" applyAlignment="1">
      <alignment horizontal="center" vertical="center" wrapText="1" readingOrder="1"/>
    </xf>
    <xf numFmtId="0" fontId="0" fillId="0" borderId="0" xfId="0" applyAlignment="1">
      <alignment horizontal="center" vertical="center" wrapText="1"/>
    </xf>
    <xf numFmtId="0" fontId="27" fillId="14" borderId="6" xfId="0" applyFont="1" applyFill="1" applyBorder="1" applyAlignment="1">
      <alignment horizontal="center" vertical="center" wrapText="1" readingOrder="1"/>
    </xf>
    <xf numFmtId="0" fontId="0" fillId="9" borderId="0" xfId="0" applyFill="1" applyAlignment="1">
      <alignment vertical="center" wrapText="1"/>
    </xf>
    <xf numFmtId="0" fontId="27" fillId="4" borderId="9" xfId="0" applyFont="1" applyFill="1" applyBorder="1" applyAlignment="1">
      <alignment horizontal="center" vertical="center" wrapText="1" readingOrder="1"/>
    </xf>
    <xf numFmtId="0" fontId="5" fillId="9" borderId="10" xfId="0" applyFont="1" applyFill="1" applyBorder="1" applyAlignment="1">
      <alignment vertical="center" wrapText="1"/>
    </xf>
    <xf numFmtId="0" fontId="26" fillId="5" borderId="9" xfId="0" applyFont="1" applyFill="1" applyBorder="1" applyAlignment="1">
      <alignment horizontal="center" vertical="center"/>
    </xf>
    <xf numFmtId="0" fontId="50" fillId="9" borderId="1" xfId="0" applyFont="1" applyFill="1" applyBorder="1" applyAlignment="1">
      <alignment horizontal="left" vertical="center" readingOrder="1"/>
    </xf>
    <xf numFmtId="0" fontId="11" fillId="0" borderId="1" xfId="0" applyFont="1" applyBorder="1" applyAlignment="1">
      <alignment horizontal="center"/>
    </xf>
    <xf numFmtId="0" fontId="51" fillId="14" borderId="6" xfId="0" applyFont="1" applyFill="1" applyBorder="1" applyAlignment="1">
      <alignment horizontal="center" vertical="center" wrapText="1" readingOrder="1"/>
    </xf>
    <xf numFmtId="0" fontId="42" fillId="9" borderId="9" xfId="0" applyFont="1" applyFill="1" applyBorder="1" applyAlignment="1">
      <alignment horizontal="left" vertical="center" readingOrder="1"/>
    </xf>
    <xf numFmtId="0" fontId="0" fillId="9" borderId="13" xfId="0" applyFill="1" applyBorder="1" applyAlignment="1">
      <alignment vertical="center" wrapText="1"/>
    </xf>
    <xf numFmtId="0" fontId="28" fillId="4" borderId="6" xfId="0" applyFont="1" applyFill="1" applyBorder="1" applyAlignment="1">
      <alignment horizontal="center" vertical="center" wrapText="1" readingOrder="1"/>
    </xf>
    <xf numFmtId="49" fontId="27" fillId="4" borderId="6" xfId="0" applyNumberFormat="1" applyFont="1" applyFill="1" applyBorder="1" applyAlignment="1">
      <alignment horizontal="center" vertical="center" wrapText="1" readingOrder="1"/>
    </xf>
    <xf numFmtId="0" fontId="27" fillId="15" borderId="6" xfId="0" applyFont="1" applyFill="1" applyBorder="1" applyAlignment="1">
      <alignment horizontal="center" vertical="center" wrapText="1" readingOrder="1"/>
    </xf>
    <xf numFmtId="49" fontId="27" fillId="14" borderId="6" xfId="0" applyNumberFormat="1" applyFont="1" applyFill="1" applyBorder="1" applyAlignment="1">
      <alignment horizontal="center" vertical="center" wrapText="1" readingOrder="1"/>
    </xf>
    <xf numFmtId="0" fontId="6" fillId="9" borderId="0" xfId="0" applyFont="1" applyFill="1" applyAlignment="1">
      <alignment vertical="center" wrapText="1"/>
    </xf>
    <xf numFmtId="0" fontId="0" fillId="9" borderId="1" xfId="0" applyFill="1" applyBorder="1" applyAlignment="1">
      <alignment vertical="center" wrapText="1"/>
    </xf>
    <xf numFmtId="0" fontId="20" fillId="5" borderId="0" xfId="0" applyFont="1" applyFill="1"/>
    <xf numFmtId="0" fontId="27" fillId="6" borderId="0" xfId="0" applyFont="1" applyFill="1" applyAlignment="1">
      <alignment horizontal="center" vertical="center" wrapText="1" readingOrder="1"/>
    </xf>
    <xf numFmtId="0" fontId="36" fillId="0" borderId="15" xfId="0" applyFont="1" applyBorder="1" applyAlignment="1">
      <alignment vertical="center" wrapText="1"/>
    </xf>
    <xf numFmtId="0" fontId="36" fillId="0" borderId="16" xfId="0" applyFont="1" applyBorder="1" applyAlignment="1">
      <alignment vertical="center" wrapText="1"/>
    </xf>
    <xf numFmtId="0" fontId="36" fillId="0" borderId="17" xfId="0" applyFont="1" applyBorder="1" applyAlignment="1">
      <alignment vertical="center" wrapText="1"/>
    </xf>
  </cellXfs>
  <cellStyles count="2">
    <cellStyle name="Hyperlink" xfId="1" builtinId="8"/>
    <cellStyle name="Normal" xfId="0" builtinId="0"/>
  </cellStyles>
  <dxfs count="6">
    <dxf>
      <font>
        <b/>
        <i val="0"/>
        <strike val="0"/>
        <condense val="0"/>
        <extend val="0"/>
        <outline val="0"/>
        <shadow val="0"/>
        <u val="none"/>
        <vertAlign val="baseline"/>
        <sz val="11"/>
        <color rgb="FF242424"/>
        <name val="Aptos Narrow"/>
        <charset val="1"/>
        <scheme val="none"/>
      </font>
      <alignment horizontal="left" vertical="bottom" textRotation="0" wrapText="0" indent="2" justifyLastLine="0" shrinkToFit="0" readingOrder="0"/>
    </dxf>
    <dxf>
      <font>
        <b/>
        <i val="0"/>
        <strike val="0"/>
        <condense val="0"/>
        <extend val="0"/>
        <outline val="0"/>
        <shadow val="0"/>
        <u val="none"/>
        <vertAlign val="baseline"/>
        <sz val="11"/>
        <color theme="1"/>
        <name val="Aptos Narrow"/>
        <family val="2"/>
        <scheme val="minor"/>
      </font>
    </dxf>
    <dxf>
      <fill>
        <patternFill patternType="solid">
          <fgColor rgb="FFBFBFBF"/>
          <bgColor rgb="FF000000"/>
        </patternFill>
      </fill>
    </dxf>
    <dxf>
      <fill>
        <patternFill patternType="solid">
          <fgColor rgb="FF92D050"/>
          <bgColor rgb="FF000000"/>
        </patternFill>
      </fill>
    </dxf>
    <dxf>
      <fill>
        <patternFill patternType="solid">
          <fgColor rgb="FFCAEDFB"/>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231</xdr:row>
      <xdr:rowOff>0</xdr:rowOff>
    </xdr:from>
    <xdr:to>
      <xdr:col>0</xdr:col>
      <xdr:colOff>152400</xdr:colOff>
      <xdr:row>231</xdr:row>
      <xdr:rowOff>152400</xdr:rowOff>
    </xdr:to>
    <xdr:sp macro="" textlink="">
      <xdr:nvSpPr>
        <xdr:cNvPr id="18433" name="AutoShape 1" descr="docx">
          <a:extLst>
            <a:ext uri="{FF2B5EF4-FFF2-40B4-BE49-F238E27FC236}">
              <a16:creationId xmlns:a16="http://schemas.microsoft.com/office/drawing/2014/main" id="{F01A73FF-08BF-19C7-3B77-22D4B4E32FDF}"/>
            </a:ext>
          </a:extLst>
        </xdr:cNvPr>
        <xdr:cNvSpPr>
          <a:spLocks noChangeAspect="1" noChangeArrowheads="1"/>
        </xdr:cNvSpPr>
      </xdr:nvSpPr>
      <xdr:spPr bwMode="auto">
        <a:xfrm>
          <a:off x="0" y="39664957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161925</xdr:colOff>
      <xdr:row>231</xdr:row>
      <xdr:rowOff>0</xdr:rowOff>
    </xdr:from>
    <xdr:to>
      <xdr:col>0</xdr:col>
      <xdr:colOff>314325</xdr:colOff>
      <xdr:row>231</xdr:row>
      <xdr:rowOff>152400</xdr:rowOff>
    </xdr:to>
    <xdr:sp macro="" textlink="">
      <xdr:nvSpPr>
        <xdr:cNvPr id="18434" name="AutoShape 2" descr="xlsx">
          <a:extLst>
            <a:ext uri="{FF2B5EF4-FFF2-40B4-BE49-F238E27FC236}">
              <a16:creationId xmlns:a16="http://schemas.microsoft.com/office/drawing/2014/main" id="{989F1583-99B0-91EE-95A1-D805803F474B}"/>
            </a:ext>
          </a:extLst>
        </xdr:cNvPr>
        <xdr:cNvSpPr>
          <a:spLocks noChangeAspect="1" noChangeArrowheads="1"/>
        </xdr:cNvSpPr>
      </xdr:nvSpPr>
      <xdr:spPr bwMode="auto">
        <a:xfrm>
          <a:off x="161925" y="39664957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231</xdr:row>
      <xdr:rowOff>0</xdr:rowOff>
    </xdr:from>
    <xdr:to>
      <xdr:col>0</xdr:col>
      <xdr:colOff>209550</xdr:colOff>
      <xdr:row>232</xdr:row>
      <xdr:rowOff>19050</xdr:rowOff>
    </xdr:to>
    <xdr:sp macro="" textlink="">
      <xdr:nvSpPr>
        <xdr:cNvPr id="18435" name="AutoShape 3">
          <a:extLst>
            <a:ext uri="{FF2B5EF4-FFF2-40B4-BE49-F238E27FC236}">
              <a16:creationId xmlns:a16="http://schemas.microsoft.com/office/drawing/2014/main" id="{AD65EA5B-B637-96F1-88E7-C96FB5B52B77}"/>
            </a:ext>
          </a:extLst>
        </xdr:cNvPr>
        <xdr:cNvSpPr>
          <a:spLocks noChangeAspect="1" noChangeArrowheads="1"/>
        </xdr:cNvSpPr>
      </xdr:nvSpPr>
      <xdr:spPr bwMode="auto">
        <a:xfrm>
          <a:off x="0" y="397592550"/>
          <a:ext cx="20955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vnarayan\AppData\Local\Microsoft\Windows\INetCache\Content.Outlook\SFL92ZST\GCC%20-Vendor%20Commun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nya Kodela" refreshedDate="45939.502644097221" createdVersion="8" refreshedVersion="8" minRefreshableVersion="3" recordCount="190" xr:uid="{8018F420-FCE1-4550-97B5-3240455350A1}">
  <cacheSource type="worksheet">
    <worksheetSource ref="A1:Q191" sheet="Vendor Engagment Costs"/>
  </cacheSource>
  <cacheFields count="17">
    <cacheField name="Vendor" numFmtId="0">
      <sharedItems/>
    </cacheField>
    <cacheField name="Product Name" numFmtId="0">
      <sharedItems containsBlank="1" count="143">
        <s v="Business eBill"/>
        <s v="Large Customer Rate Tool"/>
        <s v="DPO Card Readers"/>
        <s v="ECC Supplier"/>
        <s v="ECC &amp; GCC Supplier"/>
        <s v="EMMAx"/>
        <s v="FACTA"/>
        <s v="CCC Surveys"/>
        <s v="IVR is tied into AT&amp;T"/>
        <s v="3rd Party Contact Center"/>
        <s v="Communication management"/>
        <s v="Click to Chat-Texting from IVR"/>
        <s v="2WCC"/>
        <s v="ASP"/>
        <s v="COMET"/>
        <s v="PowerMI Drive"/>
        <s v="My Meter"/>
        <s v="STP (Smart Thermostat)   "/>
        <s v="STP (Smart Thermostat) &amp; Home Energy Analysis (HER) Reporting"/>
        <s v="Home Energy Analysis (HER) Reporting"/>
        <s v="EWR Master Customer Extract"/>
        <s v="Energy Usage Dashboard"/>
        <s v="Customer Programs"/>
        <s v="My Energy Analyzer"/>
        <s v="PowerMI Drive; Interconnections/PowerClerk"/>
        <s v="Genesys"/>
        <s v="Support Vendor for Genesys Platform"/>
        <s v="GCC Supplier"/>
        <s v="Return Mail"/>
        <s v="Collections"/>
        <s v="State Emergency Relief Fund (SER)"/>
        <s v="Customer Payments"/>
        <s v="Customer Calling Vendor (dunning)"/>
        <s v="Paymentus"/>
        <s v="LIHEAP Payments (CA_INT_140)"/>
        <s v="Customer Payments (CA_INT_240)"/>
        <s v="Workiva"/>
        <s v="Account Reconciliation"/>
        <s v="FlexiCapture"/>
        <s v="ASI"/>
        <m/>
        <s v="Clarity"/>
        <s v="Alteryx"/>
        <s v="UI Budget &amp; Planning"/>
        <s v="BOA"/>
        <s v="Citibank"/>
        <s v="Comerica"/>
        <s v="FifthThird"/>
        <s v="Trovata"/>
        <s v="Calero"/>
        <s v="GetThere"/>
        <s v="UI Planner Forecasing"/>
        <s v="Cideon"/>
        <s v="OneStream"/>
        <s v="VIM/IES"/>
        <s v="Powerplan"/>
        <s v="Onapsis Security Platform"/>
        <s v="Biztalk "/>
        <s v="FirstLogic Ace"/>
        <s v="SAP Data Refresh - Attunity Gold Client"/>
        <s v="ISIS"/>
        <s v="SAP Data Refresh - Libelle System Copy"/>
        <s v="Redwood Job Scheduling"/>
        <s v="JDMS"/>
        <s v="LMS"/>
        <s v="Recruiting"/>
        <s v="Goals &amp; Performance"/>
        <s v="Talent Management"/>
        <s v="Onboarding"/>
        <s v="Service Now"/>
        <s v="Absence Plus"/>
        <s v="Aspire"/>
        <s v="BSI "/>
        <s v="CompOne"/>
        <s v="Dayforce/Ceridian"/>
        <s v="Devonway"/>
        <s v="Equinity"/>
        <s v="Fidelity"/>
        <s v="FitPro"/>
        <s v="Live Well 365"/>
        <s v="Magnit"/>
        <s v="Market Pay"/>
        <s v="Qualtrics"/>
        <s v="Quorum"/>
        <s v="Saba Org Planning"/>
        <s v="SAP Callidus/BCC"/>
        <s v="Seniority"/>
        <s v="Grievance"/>
        <s v="Job Bidding"/>
        <s v="TaxPort"/>
        <s v="Workshop"/>
        <s v="Polite Mail"/>
        <s v="PowerAdvocate"/>
        <s v="ServiceNow"/>
        <s v="ACF Global Logistics"/>
        <s v="EDI Vendor"/>
        <s v="ISNetworld"/>
        <s v="Bentley CONNECTION Client"/>
        <s v="Bentley OpenUtilities Job Scheduler"/>
        <s v="Bentley OpenUtilities Map Connect Edition"/>
        <s v="Bentley OpenUtilities PowerView"/>
        <s v="Bentley OpenUtilities Workflow Manager"/>
        <s v="Bentley Select Server"/>
        <s v="MICROSTATION"/>
        <s v="Openway Collection Engine"/>
        <s v="OpenWay Collection Engine_x000a_Itron FCS_x000a_Openway FieldPro_x000a_MV-90"/>
        <s v="ARCOS"/>
        <s v="GCON Property Restoration"/>
        <s v="Bentley ProjectWise"/>
        <s v="EWN "/>
        <s v="Smart Meter data"/>
        <s v="SNAP"/>
        <s v="CopperLeaf"/>
        <s v="FieldNet Meter Reading System"/>
        <s v="PI GAS AMR"/>
        <s v="eSOMS"/>
        <s v="SAP WAM eSOMS Interface"/>
        <s v="Itron FCS"/>
        <s v="MDM IEE"/>
        <s v="MVLTxi"/>
        <s v="Oracle Analytics Publisher"/>
        <s v="Oracle BI Publisher"/>
        <s v="Unifier"/>
        <s v="Impress"/>
        <s v="FMRS"/>
        <s v="ADMS"/>
        <s v="ADMS DMS"/>
        <s v="ADMS OMS"/>
        <s v="Gas GIS"/>
        <s v="Landbase GIS"/>
        <s v="ArcGIS Enterprise"/>
        <s v="ArcGIS Mobile"/>
        <s v="ArcGIS Online AGOL"/>
        <s v="Cascade"/>
        <s v="Electric GIS"/>
        <s v="Geotab"/>
        <s v="Service Suite"/>
        <s v="UtiliSphere"/>
        <s v="Openway FieldPro"/>
        <s v="PRONTO"/>
        <s v="Fuelworx"/>
        <s v="SAP RE-FX Facilities Space Management (KORASOFT)"/>
        <s v="DEGREE DAYS.net API Basic"/>
      </sharedItems>
    </cacheField>
    <cacheField name="Application Name " numFmtId="0">
      <sharedItems containsBlank="1" count="111">
        <s v="Business eBill"/>
        <s v="Large Customer Rate Tool"/>
        <s v="Integration"/>
        <s v="SAP Add-On in ECC"/>
        <s v="FACTA"/>
        <m/>
        <s v="NA"/>
        <s v="2WCC"/>
        <s v="MS Dynamics"/>
        <s v="Energy Usage Dashboard"/>
        <s v="Genesys"/>
        <s v="Paymentus"/>
        <s v="Workiva"/>
        <s v="Blackline"/>
        <s v="FlexiCapture"/>
        <s v="Clarity"/>
        <s v="UI Budget &amp; Planning"/>
        <s v="N/A"/>
        <s v="Calero"/>
        <s v="GetThere"/>
        <s v="UI Planner"/>
        <s v="Cideon"/>
        <s v="OneStream"/>
        <s v="VIM"/>
        <s v="Powerplan"/>
        <s v="Onapsis Security Platform"/>
        <s v="Biztalk "/>
        <s v="FirstLogic Ace"/>
        <s v="SAP Data Refresh - Attunity Gold Client"/>
        <s v="ISIS"/>
        <s v="SAP Data Refresh - Libelle System Copy"/>
        <s v="Redwood Job Scheduling"/>
        <s v="JDMS"/>
        <s v="LMS"/>
        <s v="Recruiting"/>
        <s v="Goals &amp; Performance"/>
        <s v="Talent Management"/>
        <s v="Onboarding"/>
        <s v="Service Now HR"/>
        <s v="Absence Plus"/>
        <s v="Aspire"/>
        <s v="BSI "/>
        <s v="CompOne "/>
        <s v="Dayforce/Ceridian"/>
        <s v="Devonway"/>
        <s v="Equinity"/>
        <s v="Fidelity"/>
        <s v="FitPro"/>
        <s v="Live Well 365"/>
        <s v="Magnit"/>
        <s v="Market Pay"/>
        <s v="Qualtrics"/>
        <s v="Quorum"/>
        <s v="Saba Org Planning"/>
        <s v="SAP Callidus/BCC"/>
        <s v="Seniority"/>
        <s v="Grievance"/>
        <s v="Job Bidding"/>
        <s v="TaxPort"/>
        <s v="Workshop"/>
        <s v="Polite Mail"/>
        <s v="PowerAdvocate"/>
        <s v="ServiceNow"/>
        <s v="ACF Global Logistics"/>
        <s v="EDI Vendor"/>
        <s v="ISNetworld"/>
        <s v="Bentley CONNECTION Client"/>
        <s v="Bentley OpenUtilities Job Scheduler"/>
        <s v="Bentley OpenUtilities Map Connect Edition"/>
        <s v="Bentley OpenUtilities PowerView"/>
        <s v="Bentley OpenUtilities Workflow Manager"/>
        <s v="Bentley Select Server"/>
        <s v="MICROSTATION"/>
        <s v="Openway Collection Engine"/>
        <s v="OpenWay Collection Engine_x000a_Itron FCS_x000a_Openway FieldPro_x000a_MV-90"/>
        <s v="ARCOS"/>
        <s v="GCON Property Restoration"/>
        <s v="Bentley ProjectWise"/>
        <s v="EWN "/>
        <s v="SNAP"/>
        <s v="CopperLeaf"/>
        <s v="FieldNet Meter Reading System"/>
        <s v="PI GAS AMR"/>
        <s v="eSOMS"/>
        <s v="SAP WAM eSOMS Interface"/>
        <s v="Itron FCS"/>
        <s v="MDM IEE"/>
        <s v="MVLTxi"/>
        <s v="Oracle Analytics Publisher"/>
        <s v="Oracle BI Publisher"/>
        <s v="Unifier"/>
        <s v="Impress"/>
        <s v="FMRS"/>
        <s v="ADMS"/>
        <s v="ADMS DMS"/>
        <s v="ADMS OMS"/>
        <s v="Gas GIS"/>
        <s v="Landbase GIS"/>
        <s v="ArcGIS Enterprise"/>
        <s v="ArcGIS Mobile"/>
        <s v="ArcGIS Online AGOL"/>
        <s v="Cascade"/>
        <s v="Electric GIS"/>
        <s v="Geotab"/>
        <s v="Service Suite"/>
        <s v="UtiliSphere"/>
        <s v="Openway FieldPro"/>
        <s v="PRONTO"/>
        <s v="Fuelworx"/>
        <s v="SAP RE-FX Facilities Space Management (KORASOFT)"/>
        <s v="DEGREE DAYS.net API Basic"/>
      </sharedItems>
    </cacheField>
    <cacheField name="Integration Middleware Name (PO, ESB, Biztalk, Axway etc.) " numFmtId="0">
      <sharedItems containsBlank="1" longText="1"/>
    </cacheField>
    <cacheField name="Workstream" numFmtId="0">
      <sharedItems count="11">
        <s v="Customer-Billing"/>
        <s v="Customer-Cust Exp"/>
        <s v="Customer-Contact Ctr"/>
        <s v="Customer-IT"/>
        <s v="Customer-Rates"/>
        <s v="Customer-Rev Ops"/>
        <s v="Finance"/>
        <s v="IT&amp;S"/>
        <s v="P&amp;C"/>
        <s v="Supply Chain"/>
        <s v="WAM"/>
      </sharedItems>
    </cacheField>
    <cacheField name="Relationship Owner" numFmtId="0">
      <sharedItems longText="1"/>
    </cacheField>
    <cacheField name="Vendor Contact" numFmtId="0">
      <sharedItems containsBlank="1" longText="1"/>
    </cacheField>
    <cacheField name="Vendor Communication Initiated" numFmtId="0">
      <sharedItems containsBlank="1"/>
    </cacheField>
    <cacheField name="S/4 or SuccessFactors Compatible (Y/N)" numFmtId="0">
      <sharedItems containsBlank="1"/>
    </cacheField>
    <cacheField name="Vendor engagement needed" numFmtId="0">
      <sharedItems containsBlank="1"/>
    </cacheField>
    <cacheField name="Upgrade Needed" numFmtId="0">
      <sharedItems containsBlank="1"/>
    </cacheField>
    <cacheField name="Application Changes Needed" numFmtId="0">
      <sharedItems containsBlank="1"/>
    </cacheField>
    <cacheField name="Interface Changes Needed" numFmtId="0">
      <sharedItems containsBlank="1"/>
    </cacheField>
    <cacheField name="SOW Required" numFmtId="0">
      <sharedItems containsBlank="1"/>
    </cacheField>
    <cacheField name="Estimated Cost" numFmtId="0">
      <sharedItems containsBlank="1" containsMixedTypes="1" containsNumber="1" containsInteger="1" minValue="0" maxValue="750000"/>
    </cacheField>
    <cacheField name="Estimate Confidence (%)" numFmtId="0">
      <sharedItems containsBlank="1" containsMixedTypes="1" containsNumber="1" minValue="0.25" maxValue="0.9"/>
    </cacheField>
    <cacheField name="Comment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nya Kodela" refreshedDate="45946.039017592593" createdVersion="8" refreshedVersion="8" minRefreshableVersion="3" recordCount="191" xr:uid="{6572C06A-9482-4D69-B96F-1E1482A7DB56}">
  <cacheSource type="worksheet">
    <worksheetSource ref="A1:V192" sheet="Vendor Engagment Costs"/>
  </cacheSource>
  <cacheFields count="22">
    <cacheField name="Vendor" numFmtId="0">
      <sharedItems containsMixedTypes="1" containsNumber="1" containsInteger="1" minValue="0" maxValue="0" count="159">
        <s v="BillTrust"/>
        <s v="GridX"/>
        <s v="Card Connect"/>
        <s v="Calpine Energy Solutions LLC"/>
        <s v="CMS ERM Michigan"/>
        <s v="Constellation New Energy"/>
        <s v="Constellation NewEnergy, Inc"/>
        <s v="Direct Energy Business LLC"/>
        <s v="Energy Harbor LLC"/>
        <s v="Spartan Renewable Energy"/>
        <s v="Wolverine Power Marketing Cooperative"/>
        <s v="Excimp"/>
        <s v="Equifax"/>
        <s v="SQM"/>
        <s v="AT&amp;T "/>
        <s v="Harris &amp; Harris"/>
        <s v="Riverstar"/>
        <s v="DialPad/Koopid"/>
        <s v="Kubra"/>
        <s v="OnCourse Home Solutions (OHS)"/>
        <s v="Microsoft"/>
        <s v="Sagewell"/>
        <s v="Brillion"/>
        <s v="EnergyHub"/>
        <s v="ClearResult"/>
        <s v="ClearResult/Opower"/>
        <s v="CGI"/>
        <s v="Uplight"/>
        <s v="Honeywell"/>
        <s v="Powerley"/>
        <s v="CleanPower"/>
        <s v="Genesys"/>
        <s v="Voxai"/>
        <s v="Ardent Natural Gas"/>
        <s v="Bishop Energy Services"/>
        <s v="CleanSky Energy"/>
        <s v="Dillon Energy Services"/>
        <s v="Direct Energy Services"/>
        <s v="ELIGO ENERGY MI LLC"/>
        <s v="Grand Rapids Energy"/>
        <s v="Green Choice Energy"/>
        <s v="Greenlight Energy Inc"/>
        <s v="IGS Energy (Interstate Gas Supply)"/>
        <s v="INDRA ENERGY"/>
        <s v="Just Energy"/>
        <s v="Kratos Gas &amp; Power"/>
        <s v="Median Energy Corp"/>
        <s v="Michigan Gas &amp; Electric"/>
        <s v="Michigan Natural Gas"/>
        <s v="My Choice Energy"/>
        <s v="NORDIC ENERGY SERVICES LLC"/>
        <n v="0"/>
        <s v="Provision"/>
        <s v="Residents Energy, LLC"/>
        <s v="Santanna Energy Services"/>
        <s v="Spark Energy"/>
        <s v="Symmetry Energy Solutions, LLC"/>
        <s v="Xoom Energy"/>
        <s v="Lorton"/>
        <s v="DebtNext"/>
        <s v="DHHS"/>
        <s v="FiServ"/>
        <s v="Helvey"/>
        <s v="Paymentus"/>
        <s v="State of MI"/>
        <s v="THAW"/>
        <s v="Workiva"/>
        <s v="Blackline"/>
        <s v="ABBY"/>
        <s v="ASI"/>
        <s v="Ryan"/>
        <s v="CA"/>
        <s v="Alteryx"/>
        <s v="Utilities International"/>
        <s v="Bank of America"/>
        <s v="Citibank"/>
        <s v="Comerica"/>
        <s v="FifthThrid"/>
        <s v="JP Morgan"/>
        <s v="Tovata"/>
        <s v="VeraSmart"/>
        <s v="Sabre"/>
        <s v="ACF Global Logistics"/>
        <s v="Korasoft"/>
        <s v="OneStream"/>
        <s v="OpenText"/>
        <s v="Powerplan"/>
        <s v="ONAPSIS "/>
        <s v="Biztalk "/>
        <s v="FirstLogic"/>
        <s v="Attunity"/>
        <s v="ISIS Papyrus"/>
        <s v="Libelle"/>
        <s v="Redwood (Run my job)"/>
        <s v="JDMS"/>
        <s v="SAP SuccessFactor"/>
        <s v="SAP SuccessFactor "/>
        <s v="Service Now HR"/>
        <s v="Absence Plus (Replacing Reed Group)"/>
        <s v="Aspire"/>
        <s v="BSI Tax factory "/>
        <s v="CompOne (Replacing Broadspire)"/>
        <s v="Dayforce/Ceridian"/>
        <s v="Devonway"/>
        <s v="Equinity"/>
        <s v="Fidelity"/>
        <s v="FitPro"/>
        <s v="Live Well 365"/>
        <s v="Magnit"/>
        <s v="Market Pay"/>
        <s v="Qualtrics"/>
        <s v="Quorum"/>
        <s v="Saba Org Planning"/>
        <s v="SAP Callidus/BCC"/>
        <s v="Sodales"/>
        <s v="TaxPort"/>
        <s v="Workshop"/>
        <s v="Polite Mail"/>
        <s v="WOOD MACKENZIE INC (20030871)"/>
        <s v="SERVICENOW INC (20025075)"/>
        <s v="ACF GLOBAL LOGISTICS LLC (20032760)"/>
        <s v="3M COMPANY (20027946)"/>
        <s v="ALRO STEEL CORP (20007334)"/>
        <s v="BORDER STATES ELECTRIC SUPPLY (20017997)"/>
        <s v="CHOCTAW-KAUL DISTRIBUTION CO (20013376)"/>
        <s v="COOPER POWER SYSTEMS (20000649)"/>
        <s v="ERMCO (20007248)"/>
        <s v="FLEET CHARGE (20022552)"/>
        <s v="FORBERG SMITH PROCESS SOLUTIONS (20000368)"/>
        <s v="GRAYBAR ELECTRIC COMPANY (20000538)"/>
        <s v="GROEBNER &amp; ASSOCIATES INC (20004145)"/>
        <s v="GROEBNER &amp; ASSOCIATES INC (20009428)"/>
        <s v="HUBBELL POWER SYSTEMS (20010999)"/>
        <s v="MOTION INDUSTRIES INC (20000674)"/>
        <s v="MOTION INDUSTRIES INC (20000676)"/>
        <s v="POWER LINE SUPPLY COMPANY (20000945)"/>
        <s v="ISN SOFTWARE CORPORATION (20029874)"/>
        <s v="Bentley"/>
        <s v="Itron"/>
        <s v="ARCOS"/>
        <s v="In house + ESRI "/>
        <s v="Energy World Net"/>
        <s v="IEE"/>
        <s v="Radian Research, Inc."/>
        <s v="CopperLeaf"/>
        <s v="FieldNet"/>
        <s v="AspenTech (OSII)"/>
        <s v="Hitachi"/>
        <s v="Oracle"/>
        <s v="Trinovis"/>
        <s v="Clevest"/>
        <s v="ESRI"/>
        <s v="DNV"/>
        <s v="GeoTab"/>
        <s v="Irth Solutions"/>
        <s v="Synergy and Megger"/>
        <s v="Fuelworx"/>
        <s v="DegreeDays.Net"/>
        <s v="HenryFord"/>
      </sharedItems>
    </cacheField>
    <cacheField name="Product Name" numFmtId="0">
      <sharedItems containsBlank="1"/>
    </cacheField>
    <cacheField name="Application Name " numFmtId="0">
      <sharedItems containsBlank="1"/>
    </cacheField>
    <cacheField name="Integration Middleware Name (PO, ESB, Biztalk, Axway etc.) " numFmtId="0">
      <sharedItems containsBlank="1" longText="1"/>
    </cacheField>
    <cacheField name="Workstream" numFmtId="0">
      <sharedItems count="11">
        <s v="Customer-Billing"/>
        <s v="Customer-Cust Exp"/>
        <s v="Customer-Contact Ctr"/>
        <s v="Customer-IT"/>
        <s v="Customer-Rates"/>
        <s v="Customer-Rev Ops"/>
        <s v="Finance"/>
        <s v="IT&amp;S"/>
        <s v="P&amp;C"/>
        <s v="Supply Chain"/>
        <s v="WAM"/>
      </sharedItems>
    </cacheField>
    <cacheField name="Relationship Owner" numFmtId="0">
      <sharedItems longText="1"/>
    </cacheField>
    <cacheField name="Vendor Contact" numFmtId="0">
      <sharedItems containsBlank="1" longText="1"/>
    </cacheField>
    <cacheField name="Vendor Communication Initiated" numFmtId="0">
      <sharedItems containsBlank="1"/>
    </cacheField>
    <cacheField name="S/4 or SuccessFactors Compatible (Y/N)" numFmtId="0">
      <sharedItems containsBlank="1"/>
    </cacheField>
    <cacheField name="Vendor engagement needed" numFmtId="0">
      <sharedItems containsBlank="1"/>
    </cacheField>
    <cacheField name="Upgrade Needed" numFmtId="0">
      <sharedItems containsBlank="1"/>
    </cacheField>
    <cacheField name="Application Changes Needed" numFmtId="0">
      <sharedItems containsBlank="1"/>
    </cacheField>
    <cacheField name="Interface Changes Needed" numFmtId="0">
      <sharedItems containsBlank="1"/>
    </cacheField>
    <cacheField name="SOW Required" numFmtId="0">
      <sharedItems containsBlank="1"/>
    </cacheField>
    <cacheField name="Estimated Cost" numFmtId="0">
      <sharedItems containsBlank="1" containsMixedTypes="1" containsNumber="1" containsInteger="1" minValue="0" maxValue="750000"/>
    </cacheField>
    <cacheField name="Estimate Confidence (%)" numFmtId="0">
      <sharedItems containsBlank="1" containsMixedTypes="1" containsNumber="1" minValue="0.25" maxValue="0.9"/>
    </cacheField>
    <cacheField name="Comments" numFmtId="0">
      <sharedItems containsBlank="1" longText="1"/>
    </cacheField>
    <cacheField name="CE SME" numFmtId="0">
      <sharedItems containsBlank="1"/>
    </cacheField>
    <cacheField name="Data Objects exchanged" numFmtId="0">
      <sharedItems containsBlank="1"/>
    </cacheField>
    <cacheField name=" Tech Upgrade/Re-write with Std S4" numFmtId="0">
      <sharedItems containsBlank="1"/>
    </cacheField>
    <cacheField name="T-Shirt Sizing" numFmtId="0">
      <sharedItems containsBlank="1" count="10">
        <s v="medium"/>
        <s v="small"/>
        <s v="Retire"/>
        <s v="x-small"/>
        <s v="NA"/>
        <s v="x-large"/>
        <s v="large"/>
        <s v="xx-large"/>
        <m u="1"/>
        <s v="Medium to Large" u="1"/>
      </sharedItems>
    </cacheField>
    <cacheField name="Comments2"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7.660135879632" createdVersion="8" refreshedVersion="8" minRefreshableVersion="3" recordCount="229" xr:uid="{8EA6A5D0-89DA-4300-89BD-B473CDF423AE}">
  <cacheSource type="worksheet">
    <worksheetSource ref="A1:C228" sheet="Vendor - Details "/>
  </cacheSource>
  <cacheFields count="3">
    <cacheField name="Vendor" numFmtId="0">
      <sharedItems containsBlank="1" count="162">
        <s v="3M COMPANY (20027946)"/>
        <s v="ABBY"/>
        <s v="Absence Plus (Replacing Reed Group)"/>
        <s v="ACF Global Logistics"/>
        <s v="ACF GLOBAL LOGISTICS LLC (20032760)"/>
        <s v="ALRO STEEL CORP (20007334)"/>
        <s v="Alteryx"/>
        <s v="ARCOS"/>
        <s v="Ardent Natural Gas"/>
        <s v="ASI"/>
        <s v="AspenTech (OSII)"/>
        <s v="Aspire"/>
        <s v="AT&amp;T "/>
        <s v="Attunity"/>
        <s v="Bank of America"/>
        <s v="Bentley"/>
        <s v="BillTrust"/>
        <s v="Bishop Energy Services"/>
        <s v="Biztalk "/>
        <s v="Blackline"/>
        <s v="BORDER STATES ELECTRIC SUPPLY (20017997)"/>
        <s v="BSI Tax factory "/>
        <s v="CA"/>
        <s v="Calpine Energy Solutions LLC"/>
        <s v="CE"/>
        <s v="CGI"/>
        <s v="CHOCTAW-KAUL DISTRIBUTION CO (20013376)"/>
        <s v="Citibank"/>
        <s v="CleanPower"/>
        <s v="CleanSky Energy"/>
        <s v="ClearResult"/>
        <s v="ClearResult/Opower"/>
        <s v="Clevest"/>
        <s v="CMS ERM Michigan"/>
        <s v="Comerica"/>
        <s v="CompOne (Replacing Broadspire)"/>
        <s v="Constellation NewEnergy, Inc"/>
        <s v="COOPER POWER SYSTEMS (20000649)"/>
        <s v="CopperLeaf"/>
        <s v="Dayforce/Ceridian"/>
        <s v="DebtNext"/>
        <s v="DegreeDays.Net"/>
        <s v="Devonway"/>
        <s v="DHHS"/>
        <s v="Dillon Energy Services"/>
        <s v="Direct Energy Business LLC"/>
        <s v="Direct Energy Services"/>
        <s v="DNV"/>
        <s v="ELIGO ENERGY MI LLC"/>
        <s v="Energy Harbor LLC"/>
        <s v="Energy World Net"/>
        <s v="EnergyHub"/>
        <s v="Equifax"/>
        <s v="Equinity"/>
        <s v="ERMCO (20007248)"/>
        <s v="ESG"/>
        <s v="ESRI"/>
        <s v="Excimp"/>
        <s v="Fidelity"/>
        <s v="FieldNet"/>
        <s v="FifthThrid"/>
        <s v="FirstLogic"/>
        <s v="FiServ"/>
        <s v="FitPro"/>
        <s v="FLEET CHARGE (20022552)"/>
        <s v="FORBERG SMITH PROCESS SOLUTIONS (20000368)"/>
        <s v="Fuelworx"/>
        <s v="Genesys / AT&amp;T / OnCourse Home Solutions (OHS)"/>
        <s v="GeoTab"/>
        <s v="Grand Rapids Energy"/>
        <s v="GRAYBAR ELECTRIC COMPANY (20000538)"/>
        <s v="Green Choice Energy"/>
        <s v="Greenlight Energy Inc"/>
        <s v="GridX (Moving to Advise TBD)"/>
        <s v="GridX (was Uplight)"/>
        <s v="GROEBNER &amp; ASSOCIATES INC (20004145)"/>
        <s v="GROEBNER &amp; ASSOCIATES INC (20009428)"/>
        <s v="Harris &amp; Harris"/>
        <s v="Helvey"/>
        <s v="HenryFord"/>
        <s v="Hitachi"/>
        <s v="Honeywell"/>
        <s v="HUBBELL POWER SYSTEMS (20010999)"/>
        <s v="IEE"/>
        <s v="IGS Energy (Interstate Gas Supply)"/>
        <s v="In house &amp; ESRI "/>
        <s v="INDRA ENERGY"/>
        <s v="Irth Solutions"/>
        <s v="ISIS Papyrus"/>
        <s v="ISN SOFTWARE CORPORATION (20029874)"/>
        <s v="Itron"/>
        <s v="JDMS"/>
        <s v="JP Morgan"/>
        <s v="Just Energy"/>
        <s v="Korasoft"/>
        <s v="Kratos Gas &amp; Power"/>
        <s v="Kubra"/>
        <s v="Libelle"/>
        <s v="Live Well 365"/>
        <s v="Lorton"/>
        <s v="Magnit"/>
        <s v="Market Pay"/>
        <s v="Median Energy Corp"/>
        <s v="Michigan Gas &amp; Electric"/>
        <s v="Michigan Natural Gas"/>
        <s v="Microsoft"/>
        <s v="MOTION INDUSTRIES INC (20000674)"/>
        <s v="MOTION INDUSTRIES INC (20000676)"/>
        <s v="My Choice Energy"/>
        <s v="NORDIC ENERGY SERVICES LLC"/>
        <s v="NTHERM"/>
        <s v="ONAPSIS "/>
        <s v="OnCourse Home Solutions (OHS)"/>
        <s v="OneStream"/>
        <s v="OpenText"/>
        <s v="Oracle"/>
        <s v="Paymentus"/>
        <s v="Polite Mail"/>
        <s v="POWER LINE SUPPLY COMPANY (20000945)"/>
        <s v="Powerley"/>
        <s v="Powerplan"/>
        <s v="Provision"/>
        <s v="Qualtrics"/>
        <s v="Quorum"/>
        <s v="Radian Research, Inc."/>
        <s v="Redwood (Run my job)"/>
        <s v="Residents Energy, LLC"/>
        <s v="Riverstar"/>
        <s v="Ryan"/>
        <s v="Saba Org Planning"/>
        <s v="Sabre"/>
        <s v="Sagewell"/>
        <s v="Santanna Energy Services"/>
        <s v="SAP Callidus/BCC"/>
        <s v="SAP SuccessFactor"/>
        <s v="SAP SuccessFactor "/>
        <s v="Saviynt"/>
        <s v="Service Now HR"/>
        <s v="SERVICENOW INC (20025075)"/>
        <s v="Sodales"/>
        <s v="Spark Energy"/>
        <s v="Spartan Renewable Energy"/>
        <s v="SQM"/>
        <s v="State of MI"/>
        <s v="Symmetry Energy Solutions, LLC"/>
        <s v="Synergy and Megger"/>
        <s v="TaxPort"/>
        <s v="THAW"/>
        <s v="Tovata"/>
        <s v="Trinovis"/>
        <s v="Utilities International"/>
        <s v="VeraSmart"/>
        <s v="Voxai"/>
        <s v="Voxai (DialPad/Koopid)"/>
        <s v="Wolverine Power Marketing Cooperative"/>
        <s v="WOOD MACKENZIE INC (20030871)"/>
        <s v="Workiva"/>
        <s v="Workshop"/>
        <s v="Xoom Energy"/>
        <m/>
        <s v="See Tab GCC ECC Vendor: TESTING with just 1 for each ECC and GCC "/>
        <s v="See Tab GCC ECC Vendor: NOT TESTING  with these vendors for ECC and GCC "/>
      </sharedItems>
    </cacheField>
    <cacheField name="Product/Application Name" numFmtId="0">
      <sharedItems containsBlank="1" containsMixedTypes="1" containsNumber="1" containsInteger="1" minValue="0" maxValue="0"/>
    </cacheField>
    <cacheField name="Workstream" numFmtId="0">
      <sharedItems containsBlank="1" count="20">
        <s v="Supply Chain"/>
        <s v="Finance"/>
        <s v="P&amp;C"/>
        <s v="WAM"/>
        <s v="Customer-Rates"/>
        <s v="Customer-Contact Ctr"/>
        <s v="IT&amp;S"/>
        <m/>
        <s v="Customer-Billing"/>
        <s v="Integration Customer-Data"/>
        <s v="Integration Customer"/>
        <s v="Integration Customer-Cust Exp"/>
        <s v="Integration Customer-Contact Ctr"/>
        <s v="Integration Customer-"/>
        <s v="Integration Customer-Rev Ops"/>
        <s v="Integration Customer-Billing"/>
        <s v="Integration Customer-Billing Svcs"/>
        <s v="Customer-Cust Exp"/>
        <s v="Customer-Rev Ops"/>
        <s v="Customer-I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
  <r>
    <s v="BillTrust"/>
    <x v="0"/>
    <x v="0"/>
    <m/>
    <x v="0"/>
    <s v="Christina Gipson"/>
    <s v="Ashley Robertson (609) 512-5068 arobertson@billtrust.com; _x000a_customerservice@billtrust.com"/>
    <s v="Y"/>
    <s v="Y"/>
    <s v="Y"/>
    <s v="NA"/>
    <s v="N"/>
    <m/>
    <m/>
    <m/>
    <m/>
    <s v="BillTrust receives Utility Bills and makes the payments. The payment file comes as EDI for reconciliation in SAP system (EDI 820)"/>
  </r>
  <r>
    <s v="GridX"/>
    <x v="1"/>
    <x v="1"/>
    <m/>
    <x v="1"/>
    <s v="Karalee M. McKinstry-Masker"/>
    <s v="Oscar.lo@gridx.com; Stephanie.Zaiken@gridx.com"/>
    <s v="Y"/>
    <s v="Y"/>
    <s v="Y"/>
    <s v="NA"/>
    <s v="TBD"/>
    <m/>
    <m/>
    <m/>
    <m/>
    <s v="GridX can support S/4HANA, and we are already doing API and file transfers for this. GridX has tool called Calculate that can help with automated testing and complex rates."/>
  </r>
  <r>
    <s v="Card Connect"/>
    <x v="2"/>
    <x v="2"/>
    <m/>
    <x v="0"/>
    <s v="Kim Fick/Guy Miller"/>
    <s v="Contract from 2015.  TBD if still needed."/>
    <s v="N"/>
    <m/>
    <s v="TBD"/>
    <s v="TBD"/>
    <m/>
    <m/>
    <s v="TBD"/>
    <m/>
    <m/>
    <s v="CE is in the process of determining long term plan for DPOs and Credit Card acceptance.  Accepting CCs at DPOs may be eliminated altogether before S4 Implementation.  CE is operating under the same PO since 2016."/>
  </r>
  <r>
    <s v="Calpine Energy Solutions LLC"/>
    <x v="3"/>
    <x v="2"/>
    <m/>
    <x v="0"/>
    <s v="Zach Murphy &amp; Kristin Aungst"/>
    <s v="Kristin Fanto kristin.fanto@calpinesolutions.com"/>
    <s v="N-ECC"/>
    <s v="Y"/>
    <m/>
    <m/>
    <m/>
    <m/>
    <m/>
    <m/>
    <m/>
    <m/>
  </r>
  <r>
    <s v="CMS ERM Michigan"/>
    <x v="3"/>
    <x v="2"/>
    <m/>
    <x v="0"/>
    <s v="Zach Murphy &amp; Kristin Aungst"/>
    <s v="Mike Siciliano michelangelo.siciliano@nsce.com"/>
    <s v="N-ECC"/>
    <s v="Y"/>
    <m/>
    <m/>
    <m/>
    <m/>
    <m/>
    <m/>
    <m/>
    <m/>
  </r>
  <r>
    <s v="Constellation New Energy"/>
    <x v="4"/>
    <x v="2"/>
    <m/>
    <x v="0"/>
    <s v="Zach Murphy &amp; Kristin Aungst"/>
    <s v="Separated under ECC and GCC"/>
    <s v="N-ECC"/>
    <s v="Y"/>
    <m/>
    <m/>
    <m/>
    <m/>
    <m/>
    <m/>
    <m/>
    <m/>
  </r>
  <r>
    <s v="Constellation NewEnergy, Inc"/>
    <x v="3"/>
    <x v="2"/>
    <m/>
    <x v="0"/>
    <s v="Zach Murphy &amp; Kristin Aungst"/>
    <s v="GreatLakes_RetailOperations@constellation.com; _x000a_Ana Gutierrez Ana.Gutierrez@constellation.com;_x000a_Tonia Lively Tonia.Lively@constellation.com"/>
    <s v="N-ECC Preferred Supplier for S4 Testing"/>
    <s v="Y"/>
    <m/>
    <m/>
    <m/>
    <m/>
    <m/>
    <m/>
    <m/>
    <m/>
  </r>
  <r>
    <s v="Direct Energy Business LLC"/>
    <x v="3"/>
    <x v="2"/>
    <m/>
    <x v="0"/>
    <s v="Zach Murphy &amp; Kristin Aungst"/>
    <s v="_DEBUtilityOperations@nrg.com; _x000a_Rebekah Devorak Rebekah.devorak@nrg.com"/>
    <s v="N-ECC"/>
    <s v="Y"/>
    <m/>
    <m/>
    <m/>
    <m/>
    <m/>
    <m/>
    <m/>
    <m/>
  </r>
  <r>
    <s v="Energy Harbor LLC"/>
    <x v="3"/>
    <x v="2"/>
    <m/>
    <x v="0"/>
    <s v="Zach Murphy &amp; Kristin Aungst"/>
    <s v="ehbillingteam@energyharbor.com _x000a_Nathan Kirk Nathan.Kirk@vistracorp.com"/>
    <s v="N-ECC"/>
    <s v="Y"/>
    <m/>
    <m/>
    <m/>
    <m/>
    <m/>
    <m/>
    <m/>
    <m/>
  </r>
  <r>
    <s v="Spartan Renewable Energy"/>
    <x v="3"/>
    <x v="2"/>
    <m/>
    <x v="0"/>
    <s v="Zach Murphy &amp; Kristin Aungst"/>
    <s v="Scott Frederick sfrederick@wpsci.com"/>
    <s v="N-ECC"/>
    <s v="Y"/>
    <m/>
    <m/>
    <m/>
    <m/>
    <m/>
    <m/>
    <m/>
    <m/>
  </r>
  <r>
    <s v="Wolverine Power Marketing Cooperative"/>
    <x v="3"/>
    <x v="2"/>
    <m/>
    <x v="0"/>
    <s v="Zach Murphy &amp; Kristin Aungst"/>
    <s v="Scott Frederick sfrederick@wpsci.com"/>
    <s v="N-ECC"/>
    <s v="Y"/>
    <m/>
    <m/>
    <m/>
    <m/>
    <m/>
    <m/>
    <m/>
    <m/>
  </r>
  <r>
    <s v="Excimp"/>
    <x v="5"/>
    <x v="3"/>
    <m/>
    <x v="0"/>
    <s v="Jackie Knight"/>
    <s v="Hans Kardol hans.kardol@excimp.com"/>
    <s v="Y"/>
    <s v="Y"/>
    <s v="TBD"/>
    <s v="N"/>
    <m/>
    <m/>
    <m/>
    <m/>
    <m/>
    <m/>
  </r>
  <r>
    <s v="Equifax"/>
    <x v="6"/>
    <x v="4"/>
    <m/>
    <x v="0"/>
    <s v="Shelly Ortega/Matt Parker/Tarah Wilson"/>
    <s v="Michael Rhodes michael.rhodes@equifax.com 770-628-6664"/>
    <s v="Y"/>
    <m/>
    <m/>
    <m/>
    <m/>
    <m/>
    <m/>
    <m/>
    <m/>
    <m/>
  </r>
  <r>
    <s v="SQM"/>
    <x v="7"/>
    <x v="2"/>
    <m/>
    <x v="2"/>
    <s v="Corey Nykamp "/>
    <s v="Pam Havens - Sr Account Manager -  pamh@sqmgroup.com, 208-755-4217_x000a_Nadar Ghattas - President - nader@sqmgroup.com, 778-475-8015"/>
    <s v="Y"/>
    <s v="N"/>
    <s v="Y"/>
    <s v="unsure"/>
    <s v="unsure"/>
    <s v="Y"/>
    <s v="Y"/>
    <m/>
    <m/>
    <s v="7/11 SQM Currently use SFTP file format  that they export a raw data file to us. Its then sent back through same proess.  They don't integrate with SAP today, they also have no clients that do.  They don't believe will integrate but they are currently building APIs for their client integrations into their platform.  I asked timeline if known for the change from SFTP to API."/>
  </r>
  <r>
    <s v="AT&amp;T "/>
    <x v="8"/>
    <x v="5"/>
    <m/>
    <x v="2"/>
    <s v="LeRoy Eberly"/>
    <s v="See notes"/>
    <s v="N/A"/>
    <s v="N/A"/>
    <s v="N/A"/>
    <s v="N/A"/>
    <s v="N/A"/>
    <s v="N/A"/>
    <s v="N/A"/>
    <s v="N/A"/>
    <s v="N/A"/>
    <s v="LeRoy says this does not touch SAP and with Genesys Cloud it goes away"/>
  </r>
  <r>
    <s v="Harris &amp; Harris"/>
    <x v="9"/>
    <x v="6"/>
    <m/>
    <x v="2"/>
    <s v="Marcy Stump"/>
    <s v="Sasha Elliot - Sr Account Executive, selliot@harriscollect.com, 216-401-2928_x000a_Carol Yakel - Contact Center Director - cyakel@harriscollect.com, 585-409-1207_x000a_Bryan Albertson - CIO, balbertson@harriscollect.com, 630-625-2024_x000a_Bob Mudd - bmudd@harriscollect.com_x000a_Jamie Mieleneczek - jmielneczek@harriscollect.com"/>
    <s v="Y"/>
    <m/>
    <m/>
    <m/>
    <m/>
    <m/>
    <s v="Yes"/>
    <m/>
    <m/>
    <s v="7/1/25 - Sasha added in Bob Mudd and Jamie Mielneczek "/>
  </r>
  <r>
    <s v="Riverstar"/>
    <x v="10"/>
    <x v="2"/>
    <m/>
    <x v="2"/>
    <s v="Sarah Carter/Russell Hanshue"/>
    <s v="Tom Page – Account Director, tpage@riverstar.com, 206-619-5711_x000a_Bob Fike – CEO, rfike@riverstar.com, 847-736-7330_x000a_Amy Sintes - asintes@riverstar.com_x000a_John Conneely - programming/digital/technical resource - jconneely@riverstar.com"/>
    <s v="Y"/>
    <m/>
    <m/>
    <m/>
    <m/>
    <m/>
    <s v="Yes"/>
    <m/>
    <m/>
    <m/>
  </r>
  <r>
    <s v="DialPad/Koopid"/>
    <x v="11"/>
    <x v="2"/>
    <m/>
    <x v="2"/>
    <s v="Frank Lubis "/>
    <s v="John McGeary with Voxai, jmgeary.com"/>
    <s v="Y"/>
    <m/>
    <m/>
    <m/>
    <m/>
    <m/>
    <s v="Yes"/>
    <m/>
    <m/>
    <m/>
  </r>
  <r>
    <s v="Kubra"/>
    <x v="12"/>
    <x v="7"/>
    <m/>
    <x v="2"/>
    <s v="Russell Hanshue; Nicholas Sheldon for PTR/CPP"/>
    <s v="Kevin Hoekman - Sr Client Success Manager, kevin.hoekman@kubra.com, 437-229-2627"/>
    <s v="Y"/>
    <s v="Y"/>
    <s v="Y"/>
    <m/>
    <m/>
    <m/>
    <s v="Yes"/>
    <m/>
    <m/>
    <s v="8/4 KUBRA has clients on S/4; they fully support. Best if there are no data or formatting changes, but if it does, KUBRA can make any modifications. As for file transfer, KUBRA can support API's in place of SFTP."/>
  </r>
  <r>
    <s v="OnCourse Home Solutions (OHS)"/>
    <x v="13"/>
    <x v="2"/>
    <m/>
    <x v="2"/>
    <s v="Stephanie Tucker"/>
    <s v="Yashodhara Neerukonda yashodhara.neerukonda@oncoursehome.com Sr. Manager – Strategic Partnerships "/>
    <s v="Y"/>
    <m/>
    <m/>
    <m/>
    <m/>
    <m/>
    <m/>
    <m/>
    <m/>
    <s v="7/17 TAW - I sent an email to Stephanie requesting contact information for OHS"/>
  </r>
  <r>
    <s v="Microsoft"/>
    <x v="14"/>
    <x v="8"/>
    <m/>
    <x v="1"/>
    <s v="Blaise Krol"/>
    <s v="NA"/>
    <s v="NA"/>
    <m/>
    <m/>
    <m/>
    <m/>
    <m/>
    <m/>
    <m/>
    <m/>
    <s v="Internally built and supported"/>
  </r>
  <r>
    <s v="Sagewell"/>
    <x v="15"/>
    <x v="2"/>
    <m/>
    <x v="1"/>
    <s v="Stacey Walkowe (Brittany Fisher on maternity leave til 1/26)"/>
    <s v="Gary Smith &lt;gary.smith@sagewell.com&gt;; Pasi Miettinen &lt;pasi@sagewell.com&gt;"/>
    <s v="Y"/>
    <s v="?"/>
    <s v="Y"/>
    <s v="TBD"/>
    <s v="TBD"/>
    <s v="TBD"/>
    <s v="TBD"/>
    <m/>
    <m/>
    <s v="Data extracted from SAP data lake to BizTalk &amp; transferred via  SFTP file to Sagewell. Data is flowing from SAP to Sagewell AND Sagewell back to SAP…Biztalk is used to move the files from one place to another but there is a program in SAP that generate the file that Biztalk picks up and sends to Sagewell along with program that consumes data in SAP sent by Sagewell and moved by Biztalk. Sagewell indicated: they have not worked w/ S4, may need changes, and currently they don't integrate with APIs and would require signif work. Prefer to stay with SFTP."/>
  </r>
  <r>
    <s v="Brillion"/>
    <x v="16"/>
    <x v="2"/>
    <m/>
    <x v="1"/>
    <s v="Miles Biel"/>
    <s v="Jamie Abrusci&lt;jabrusci@brillion.ai&gt;"/>
    <s v="NA"/>
    <s v="NA"/>
    <s v="N"/>
    <s v="N"/>
    <s v="N"/>
    <s v="N"/>
    <s v="N"/>
    <n v="0"/>
    <m/>
    <s v="Pilot and relationship with Brillion has ended."/>
  </r>
  <r>
    <s v="EnergyHub"/>
    <x v="17"/>
    <x v="2"/>
    <m/>
    <x v="1"/>
    <s v="Nicholas Sheldon"/>
    <s v="paul.heiberger@energyhub.net;_x000a_pai@energyhub.net;"/>
    <s v="Y"/>
    <s v="?"/>
    <s v="Yes"/>
    <m/>
    <s v="Y"/>
    <s v="Y"/>
    <s v="Y"/>
    <m/>
    <m/>
    <s v="7/21 Paul H. indicated the file transfer we do today would continue to keep it easy to test. They would be interested in exploring API calls, but that would require SOW, costs and potential app changes. They've not tested with other companies using S4."/>
  </r>
  <r>
    <s v="ClearResult"/>
    <x v="18"/>
    <x v="2"/>
    <m/>
    <x v="1"/>
    <s v="Nicholas Sheldon "/>
    <m/>
    <s v="Y"/>
    <m/>
    <m/>
    <m/>
    <m/>
    <m/>
    <m/>
    <m/>
    <m/>
    <m/>
  </r>
  <r>
    <s v="ClearResult/Opower"/>
    <x v="19"/>
    <x v="2"/>
    <m/>
    <x v="1"/>
    <s v="Ted Ykimoff/Emily McGraw"/>
    <s v="ClearRESULT (they work directly w/ Opower)"/>
    <s v="Y"/>
    <m/>
    <m/>
    <m/>
    <m/>
    <m/>
    <m/>
    <m/>
    <m/>
    <s v="Consumers Energy sends an Incremental Weekly File to CLEAResult SFTP and then Subcontractor Opower receives data from CLEAResult.  CE owns data; Pulse Energy is no longer in service. Process occurs on Sat mornings and we work through CR"/>
  </r>
  <r>
    <s v="CGI"/>
    <x v="20"/>
    <x v="5"/>
    <m/>
    <x v="1"/>
    <s v="Nicholas Sheldon "/>
    <s v="Murthy Lanka (lakshmi.murthylanka@cgi.com)"/>
    <s v="Y"/>
    <m/>
    <m/>
    <m/>
    <m/>
    <m/>
    <m/>
    <m/>
    <m/>
    <m/>
  </r>
  <r>
    <s v="Uplight"/>
    <x v="21"/>
    <x v="9"/>
    <m/>
    <x v="1"/>
    <s v="Tobin Williams/Justin Lafferty"/>
    <s v="Ruthie Townsend&lt;ruthie.townsend@uplight.com&gt;"/>
    <s v="Y"/>
    <s v="Y"/>
    <s v="Yes"/>
    <m/>
    <s v="Y"/>
    <m/>
    <m/>
    <m/>
    <m/>
    <s v="Rae Anne Tolonen reached out initially. All contact forward should be made by Justin. Uplight had to go over an ingest integration workbook to see if there were any patterns between source systems for other company that upgraded to S4"/>
  </r>
  <r>
    <s v="Honeywell"/>
    <x v="22"/>
    <x v="2"/>
    <m/>
    <x v="1"/>
    <s v="Nicholas Sheldon (OPM Team)"/>
    <s v="amina.elghaber@honeywell.com;_x000a_ craig.henry@honeywell.com;"/>
    <s v="Y"/>
    <s v="N"/>
    <s v="Y"/>
    <s v="TBD"/>
    <s v="TBD"/>
    <s v="TBD"/>
    <s v="TBD"/>
    <m/>
    <m/>
    <s v="Have not interfaced w/ S4 but will work with us; they are able to move to API calls if needed, but will need to build/test for those"/>
  </r>
  <r>
    <s v="Powerley"/>
    <x v="23"/>
    <x v="5"/>
    <m/>
    <x v="1"/>
    <s v="Carrie Harkness"/>
    <s v="Paul Wezner&lt;pwezner@powerley.com&gt;_x000a_Sergei Sobolevski&lt;ssobolevski@powerley.com&gt;"/>
    <s v="Y"/>
    <m/>
    <m/>
    <m/>
    <m/>
    <m/>
    <m/>
    <m/>
    <m/>
    <m/>
  </r>
  <r>
    <s v="CleanPower"/>
    <x v="24"/>
    <x v="5"/>
    <m/>
    <x v="1"/>
    <s v="Brittany Fisher"/>
    <s v="_x000a_Scott DeWees&lt;sdewees@cleanpower.com&gt;"/>
    <s v="Y"/>
    <s v="Y"/>
    <s v="Y"/>
    <m/>
    <m/>
    <s v="TBD"/>
    <m/>
    <m/>
    <m/>
    <s v="PowerClerk API used for setting and getting data triggered from an external source to PowerClerk, and it offers PowerClerk’s Connection feature to trigger a data exchange from PowerClerk to an external endpoint of a tool or legacy system. If SAP S/4HANA offers endpoints to send data into, then PowerClerk’s Connection feature should be further explored for feasibility."/>
  </r>
  <r>
    <s v="Genesys"/>
    <x v="25"/>
    <x v="10"/>
    <m/>
    <x v="3"/>
    <s v="Matt Parker"/>
    <s v="NA-we work thru Voxai for the Genesys platform_x000a_"/>
    <s v="NA"/>
    <m/>
    <m/>
    <m/>
    <m/>
    <m/>
    <m/>
    <m/>
    <m/>
    <m/>
  </r>
  <r>
    <s v="Voxai"/>
    <x v="26"/>
    <x v="5"/>
    <m/>
    <x v="3"/>
    <s v="Matt Parker"/>
    <s v="jmgeary@voxai.com"/>
    <s v="Y"/>
    <m/>
    <m/>
    <m/>
    <m/>
    <m/>
    <m/>
    <m/>
    <m/>
    <m/>
  </r>
  <r>
    <s v="Ardent Natural Gas"/>
    <x v="27"/>
    <x v="2"/>
    <m/>
    <x v="4"/>
    <s v="Casey Wells &amp; Jesse Sutton"/>
    <m/>
    <s v="Y"/>
    <s v="Y"/>
    <s v="Y"/>
    <s v="N"/>
    <s v="N"/>
    <m/>
    <m/>
    <m/>
    <m/>
    <m/>
  </r>
  <r>
    <s v="Bishop Energy Services"/>
    <x v="27"/>
    <x v="2"/>
    <m/>
    <x v="4"/>
    <s v="Casey Wells &amp; Jesse Sutton"/>
    <m/>
    <s v="Y"/>
    <s v="Y"/>
    <s v="Y"/>
    <s v="N"/>
    <s v="N"/>
    <m/>
    <m/>
    <m/>
    <m/>
    <m/>
  </r>
  <r>
    <s v="CleanSky Energy"/>
    <x v="27"/>
    <x v="2"/>
    <m/>
    <x v="4"/>
    <s v="Casey Wells &amp; Jesse Sutton"/>
    <s v="See GCC Vendor Tab"/>
    <s v="Y"/>
    <s v="Y"/>
    <s v="Y"/>
    <s v="N"/>
    <s v="N"/>
    <m/>
    <m/>
    <m/>
    <m/>
    <m/>
  </r>
  <r>
    <s v="Dillon Energy Services"/>
    <x v="27"/>
    <x v="2"/>
    <m/>
    <x v="4"/>
    <s v="Casey Wells &amp; Jesse Sutton"/>
    <s v="See GCC Vendor Tab"/>
    <s v="Y"/>
    <s v="Y"/>
    <s v="Y"/>
    <s v="N"/>
    <s v="N"/>
    <m/>
    <m/>
    <m/>
    <m/>
    <m/>
  </r>
  <r>
    <s v="Direct Energy Services"/>
    <x v="27"/>
    <x v="2"/>
    <m/>
    <x v="4"/>
    <s v="Casey Wells &amp; Jesse Sutton"/>
    <s v="See GCC Vendor Tab"/>
    <s v="Y"/>
    <s v="Y"/>
    <s v="Y"/>
    <s v="N"/>
    <s v="N"/>
    <m/>
    <m/>
    <m/>
    <m/>
    <m/>
  </r>
  <r>
    <s v="ELIGO ENERGY MI LLC"/>
    <x v="27"/>
    <x v="2"/>
    <m/>
    <x v="4"/>
    <s v="Casey Wells &amp; Jesse Sutton"/>
    <s v="See GCC Vendor Tab"/>
    <s v="Y"/>
    <s v="Y"/>
    <s v="Y"/>
    <s v="N"/>
    <s v="N"/>
    <m/>
    <m/>
    <m/>
    <m/>
    <m/>
  </r>
  <r>
    <s v="Grand Rapids Energy"/>
    <x v="27"/>
    <x v="2"/>
    <m/>
    <x v="4"/>
    <s v="Casey Wells &amp; Jesse Sutton"/>
    <s v="See GCC Vendor Tab"/>
    <s v="Y"/>
    <s v="Y"/>
    <s v="Y"/>
    <s v="N"/>
    <s v="N"/>
    <m/>
    <m/>
    <m/>
    <m/>
    <m/>
  </r>
  <r>
    <s v="Green Choice Energy"/>
    <x v="27"/>
    <x v="2"/>
    <m/>
    <x v="4"/>
    <s v="Casey Wells &amp; Jesse Sutton"/>
    <s v="See GCC Vendor Tab"/>
    <s v="Y"/>
    <s v="Y"/>
    <s v="Y"/>
    <s v="N"/>
    <s v="N"/>
    <m/>
    <m/>
    <m/>
    <m/>
    <m/>
  </r>
  <r>
    <s v="Greenlight Energy Inc"/>
    <x v="27"/>
    <x v="2"/>
    <m/>
    <x v="4"/>
    <s v="Casey Wells &amp; Jesse Sutton"/>
    <s v="See GCC Vendor Tab"/>
    <s v="Y"/>
    <s v="Y"/>
    <s v="Y"/>
    <s v="N"/>
    <s v="N"/>
    <m/>
    <m/>
    <m/>
    <m/>
    <m/>
  </r>
  <r>
    <s v="IGS Energy (Interstate Gas Supply)"/>
    <x v="27"/>
    <x v="2"/>
    <m/>
    <x v="4"/>
    <s v="Casey Wells &amp; Jesse Sutton"/>
    <s v="See GCC Vendor Tab"/>
    <s v="Y"/>
    <s v="Y"/>
    <s v="Y"/>
    <s v="N"/>
    <s v="N"/>
    <m/>
    <m/>
    <m/>
    <m/>
    <m/>
  </r>
  <r>
    <s v="INDRA ENERGY"/>
    <x v="27"/>
    <x v="2"/>
    <m/>
    <x v="4"/>
    <s v="Casey Wells &amp; Jesse Sutton"/>
    <s v="See GCC Vendor Tab"/>
    <s v="Y"/>
    <s v="Y"/>
    <s v="Y"/>
    <s v="N"/>
    <s v="N"/>
    <m/>
    <m/>
    <m/>
    <m/>
    <m/>
  </r>
  <r>
    <s v="Just Energy"/>
    <x v="27"/>
    <x v="2"/>
    <m/>
    <x v="4"/>
    <s v="Casey Wells &amp; Jesse Sutton"/>
    <s v="See GCC Vendor Tab"/>
    <s v="Y"/>
    <s v="Y"/>
    <s v="Y"/>
    <s v="N"/>
    <s v="N"/>
    <m/>
    <m/>
    <m/>
    <m/>
    <m/>
  </r>
  <r>
    <s v="Kratos Gas &amp; Power"/>
    <x v="27"/>
    <x v="2"/>
    <m/>
    <x v="4"/>
    <s v="Casey Wells &amp; Jesse Sutton"/>
    <s v="See GCC Vendor Tab"/>
    <s v="Y"/>
    <s v="Y"/>
    <s v="Y"/>
    <s v="N"/>
    <s v="N"/>
    <m/>
    <m/>
    <m/>
    <m/>
    <m/>
  </r>
  <r>
    <s v="Median Energy Corp"/>
    <x v="27"/>
    <x v="2"/>
    <m/>
    <x v="4"/>
    <s v="Casey Wells &amp; Jesse Sutton"/>
    <s v="See GCC Vendor Tab"/>
    <s v="Y"/>
    <s v="Y"/>
    <s v="Y"/>
    <s v="N"/>
    <s v="N"/>
    <m/>
    <m/>
    <m/>
    <m/>
    <m/>
  </r>
  <r>
    <s v="Michigan Gas &amp; Electric"/>
    <x v="27"/>
    <x v="2"/>
    <m/>
    <x v="4"/>
    <s v="Casey Wells &amp; Jesse Sutton"/>
    <s v="See GCC Vendor Tab"/>
    <s v="Y"/>
    <s v="Y"/>
    <s v="Y"/>
    <s v="N"/>
    <s v="N"/>
    <m/>
    <m/>
    <m/>
    <m/>
    <m/>
  </r>
  <r>
    <s v="Michigan Natural Gas"/>
    <x v="27"/>
    <x v="2"/>
    <m/>
    <x v="4"/>
    <s v="Casey Wells &amp; Jesse Sutton"/>
    <s v="See GCC Vendor Tab"/>
    <s v="Y"/>
    <s v="Y"/>
    <s v="Y"/>
    <s v="N"/>
    <s v="N"/>
    <m/>
    <m/>
    <m/>
    <m/>
    <m/>
  </r>
  <r>
    <s v="My Choice Energy"/>
    <x v="27"/>
    <x v="2"/>
    <m/>
    <x v="4"/>
    <s v="Casey Wells &amp; Jesse Sutton"/>
    <s v="See GCC Vendor Tab"/>
    <s v="Y"/>
    <s v="Y"/>
    <s v="Y"/>
    <s v="N"/>
    <s v="N"/>
    <m/>
    <m/>
    <m/>
    <m/>
    <m/>
  </r>
  <r>
    <s v="NORDIC ENERGY SERVICES LLC"/>
    <x v="27"/>
    <x v="2"/>
    <m/>
    <x v="4"/>
    <s v="Casey Wells &amp; Jesse Sutton"/>
    <s v="See GCC Vendor Tab"/>
    <s v="Y"/>
    <s v="Y"/>
    <s v="Y"/>
    <s v="N"/>
    <s v="N"/>
    <m/>
    <m/>
    <m/>
    <m/>
    <m/>
  </r>
  <r>
    <s v="NTHERM, LLC"/>
    <x v="27"/>
    <x v="2"/>
    <m/>
    <x v="4"/>
    <s v="Casey Wells &amp; Jesse Sutton"/>
    <s v="See GCC Vendor Tab"/>
    <s v="Y"/>
    <s v="Y"/>
    <s v="Y"/>
    <s v="N"/>
    <s v="N"/>
    <m/>
    <m/>
    <m/>
    <m/>
    <m/>
  </r>
  <r>
    <s v="Provision"/>
    <x v="27"/>
    <x v="2"/>
    <m/>
    <x v="4"/>
    <s v="Casey Wells &amp; Jesse Sutton"/>
    <s v="See GCC Vendor Tab"/>
    <s v="Y"/>
    <s v="Y"/>
    <s v="Y"/>
    <s v="N"/>
    <s v="N"/>
    <m/>
    <m/>
    <m/>
    <m/>
    <m/>
  </r>
  <r>
    <s v="Residents Energy, LLC"/>
    <x v="27"/>
    <x v="2"/>
    <m/>
    <x v="4"/>
    <s v="Casey Wells &amp; Jesse Sutton"/>
    <s v="See GCC Vendor Tab"/>
    <s v="Y"/>
    <s v="Y"/>
    <s v="Y"/>
    <s v="N"/>
    <s v="N"/>
    <m/>
    <m/>
    <m/>
    <m/>
    <m/>
  </r>
  <r>
    <s v="Santanna Energy Services"/>
    <x v="27"/>
    <x v="2"/>
    <m/>
    <x v="4"/>
    <s v="Casey Wells &amp; Jesse Sutton"/>
    <s v="See GCC Vendor Tab"/>
    <s v="Y"/>
    <s v="Y"/>
    <s v="Y"/>
    <s v="N"/>
    <s v="N"/>
    <m/>
    <m/>
    <m/>
    <m/>
    <m/>
  </r>
  <r>
    <s v="Spark Energy"/>
    <x v="27"/>
    <x v="2"/>
    <m/>
    <x v="4"/>
    <s v="Casey Wells &amp; Jesse Sutton"/>
    <s v="See GCC Vendor Tab"/>
    <s v="Y"/>
    <s v="Y"/>
    <s v="Y"/>
    <s v="N"/>
    <s v="N"/>
    <m/>
    <m/>
    <m/>
    <m/>
    <m/>
  </r>
  <r>
    <s v="Symmetry Energy Solutions, LLC"/>
    <x v="27"/>
    <x v="2"/>
    <m/>
    <x v="4"/>
    <s v="Casey Wells &amp; Jesse Sutton"/>
    <s v="See GCC Vendor Tab"/>
    <s v="Y"/>
    <s v="Y"/>
    <s v="Y"/>
    <s v="N"/>
    <s v="N"/>
    <m/>
    <m/>
    <m/>
    <m/>
    <m/>
  </r>
  <r>
    <s v="Xoom Energy"/>
    <x v="27"/>
    <x v="2"/>
    <m/>
    <x v="4"/>
    <s v="Casey Wells &amp; Jesse Sutton"/>
    <s v="See GCC Vendor Tab"/>
    <s v="Y"/>
    <s v="Y"/>
    <s v="Y"/>
    <s v="N"/>
    <s v="N"/>
    <m/>
    <m/>
    <m/>
    <m/>
    <m/>
  </r>
  <r>
    <s v="Lorton"/>
    <x v="28"/>
    <x v="2"/>
    <m/>
    <x v="5"/>
    <s v="Kim Michner/Judi Helm"/>
    <s v="support@lortondata.com,  _x000a_Pamela Corbeille-Lepel - VP Sales - pcorbeille-lepel@lortondata.com, 651-203-8205"/>
    <s v="Y"/>
    <s v="Unsure"/>
    <s v="Yes"/>
    <m/>
    <m/>
    <m/>
    <s v="Yes"/>
    <m/>
    <m/>
    <s v="this is only a support email so I did email them the question and asked to provide a business and techncial resource name and information also. 7/1 Pamela Corbeille - Lepel (Pam) responded she will be our contact person for now until we can provide more technical details.  She is unsure if their system is compatible, she feels should accomidate. We do have a custom layout for our jobs. "/>
  </r>
  <r>
    <s v="DebtNext"/>
    <x v="29"/>
    <x v="2"/>
    <m/>
    <x v="5"/>
    <s v="Jon Clark"/>
    <s v="Kristy Kenna, kkenna@debtnext.com"/>
    <s v="Y"/>
    <s v="Unsure"/>
    <s v="Yes"/>
    <m/>
    <m/>
    <m/>
    <m/>
    <m/>
    <m/>
    <s v="6/23 Kristy responded unsuer if they are compatible and does not see foresee any issues.  They are open to API integration.  Requests call with IT folks to discuss next steps more"/>
  </r>
  <r>
    <s v="DHHS"/>
    <x v="30"/>
    <x v="2"/>
    <m/>
    <x v="5"/>
    <s v="Jon Clark"/>
    <s v="Julie Mclaughlin,  mclaughlinj@michigan.gov, 517-897-3699_x000a_Veronica Maxson - maxsonv@michigan.gov_x000a_Rakesh Roshan - Technical Resource - roshanr@michigan.gov_x000a_Tao (Tom( Li - Technical Resources - lit@michigan.gov"/>
    <s v="Y"/>
    <m/>
    <m/>
    <m/>
    <m/>
    <m/>
    <m/>
    <m/>
    <m/>
    <s v="I originally sent request to Julie as only person listed.  Julie forwarded my request to Veronica who responded 7/2 and asked to include Tom and Rajesh as their IT experts.  Will be gettibg back to me on the questions"/>
  </r>
  <r>
    <s v="FiServ"/>
    <x v="31"/>
    <x v="2"/>
    <m/>
    <x v="5"/>
    <s v="Jon Clark"/>
    <s v="John Grubmuller - Relationship Manager_x000a_john.grubmuller@fiserv.com,_x000a_937-474-1665"/>
    <s v="Y"/>
    <m/>
    <m/>
    <m/>
    <m/>
    <m/>
    <m/>
    <m/>
    <m/>
    <s v="6/20 Sent email - no response as of 7/3"/>
  </r>
  <r>
    <s v="Helvey"/>
    <x v="32"/>
    <x v="2"/>
    <m/>
    <x v="5"/>
    <s v="Jon Clark"/>
    <s v="Jackie Semon and Gina Hofferth_x000a_jsemon@hlv.com_x000a_ghofferth@hlv.com"/>
    <s v="Y"/>
    <s v="N/A"/>
    <s v="N/A"/>
    <s v="N/A"/>
    <s v="N/A"/>
    <s v="N/A"/>
    <s v="N/A"/>
    <s v="N/A"/>
    <s v="N/A"/>
    <s v="6/23 Gina responded back that they only use CE Pass now and no direct connections with  SAP"/>
  </r>
  <r>
    <s v="Paymentus"/>
    <x v="33"/>
    <x v="11"/>
    <m/>
    <x v="5"/>
    <s v="Jon Clark"/>
    <s v="Nancy Sullivan - Relatonship Manager, nsullivan@paymentus.com, 913-645-1525_x000a_Tony DeMaestri – Techincal Rrelationship Manager, tdemaestri@paymentus.com_x000a_980-337-4730_x000a_"/>
    <s v="Y"/>
    <m/>
    <m/>
    <m/>
    <m/>
    <m/>
    <s v="Yes"/>
    <m/>
    <m/>
    <s v="7/3 Nancy responded will get back to me with the answers"/>
  </r>
  <r>
    <s v="State of MI"/>
    <x v="34"/>
    <x v="2"/>
    <m/>
    <x v="5"/>
    <s v="Jon Clark"/>
    <s v="Scott B Darragh (Treasury) darraghs@michigan.gov, 517-881-8557 orShane Reed (TREASURY), reeds17@michigan.gov_x000a_Kevin Bonds - bondsk1@michigan.gov_x000a_Joshua Horn - hornj1@michigan.gov_x000a_Zachary Corkins - corkinsz@michigan.gov"/>
    <s v="Y"/>
    <m/>
    <m/>
    <m/>
    <m/>
    <m/>
    <m/>
    <m/>
    <m/>
    <s v="7/2 Scott responded and sent to Kevin Bond, Joshua Horn, Zachary Corkins to help with the questions"/>
  </r>
  <r>
    <s v="THAW"/>
    <x v="35"/>
    <x v="2"/>
    <m/>
    <x v="5"/>
    <s v="Jon Clark"/>
    <s v="Christine Beatty,  cbeatty@thawfund.org, 313-418-1686"/>
    <s v="Y"/>
    <m/>
    <m/>
    <m/>
    <m/>
    <m/>
    <m/>
    <m/>
    <m/>
    <m/>
  </r>
  <r>
    <s v="Workiva"/>
    <x v="36"/>
    <x v="12"/>
    <m/>
    <x v="6"/>
    <s v="Angie Nobel"/>
    <m/>
    <s v="N/A"/>
    <s v="N/A"/>
    <s v="N"/>
    <s v="N"/>
    <s v="N"/>
    <s v="N/A"/>
    <s v="N"/>
    <m/>
    <m/>
    <m/>
  </r>
  <r>
    <s v="Blackline"/>
    <x v="37"/>
    <x v="13"/>
    <m/>
    <x v="6"/>
    <s v="Anita Blaj"/>
    <m/>
    <s v="Y"/>
    <m/>
    <m/>
    <m/>
    <m/>
    <m/>
    <m/>
    <m/>
    <m/>
    <m/>
  </r>
  <r>
    <s v="ABBY"/>
    <x v="38"/>
    <x v="14"/>
    <m/>
    <x v="6"/>
    <s v="Brian VanBlarcum"/>
    <m/>
    <s v="N/A"/>
    <s v="N/A"/>
    <s v="N"/>
    <s v="N"/>
    <s v="N"/>
    <s v="N/A"/>
    <s v="N"/>
    <n v="0"/>
    <m/>
    <m/>
  </r>
  <r>
    <s v="ASI"/>
    <x v="39"/>
    <x v="5"/>
    <m/>
    <x v="6"/>
    <s v="Cheri Clark"/>
    <m/>
    <s v="N"/>
    <s v="N/A"/>
    <s v="Y"/>
    <s v="N"/>
    <s v="Y"/>
    <s v="N"/>
    <m/>
    <n v="25000"/>
    <m/>
    <m/>
  </r>
  <r>
    <s v="Ryan"/>
    <x v="40"/>
    <x v="5"/>
    <m/>
    <x v="6"/>
    <s v="Brian VanBlarcum"/>
    <m/>
    <s v="N/A"/>
    <m/>
    <s v="N"/>
    <s v="N"/>
    <s v="N"/>
    <m/>
    <m/>
    <n v="0"/>
    <m/>
    <m/>
  </r>
  <r>
    <s v="CA"/>
    <x v="41"/>
    <x v="15"/>
    <m/>
    <x v="6"/>
    <s v="Craig Kelling"/>
    <m/>
    <s v="N"/>
    <m/>
    <m/>
    <s v="NA"/>
    <m/>
    <m/>
    <m/>
    <m/>
    <m/>
    <s v="Follow-up mtg scheduled with IT/BP&amp;A to discuss Clarity future"/>
  </r>
  <r>
    <s v="Alteryx"/>
    <x v="42"/>
    <x v="5"/>
    <m/>
    <x v="6"/>
    <s v="Dennis Mickel"/>
    <m/>
    <s v="N/A"/>
    <s v="N/A"/>
    <s v="N"/>
    <s v="N"/>
    <s v="Y"/>
    <s v="N"/>
    <s v="N"/>
    <n v="25000"/>
    <m/>
    <s v="Changes needed will be made by CE resources."/>
  </r>
  <r>
    <s v="Utilities International"/>
    <x v="43"/>
    <x v="16"/>
    <m/>
    <x v="6"/>
    <s v="Dennis Mickel"/>
    <m/>
    <s v="N"/>
    <s v="N"/>
    <s v="Y"/>
    <s v="N"/>
    <s v="Y"/>
    <s v="Y"/>
    <s v="Y"/>
    <n v="750000"/>
    <m/>
    <s v="If we stay with UI Planning &amp; Forecasting"/>
  </r>
  <r>
    <s v="Bank of America"/>
    <x v="44"/>
    <x v="17"/>
    <m/>
    <x v="6"/>
    <s v="Heather Wilson"/>
    <m/>
    <s v="Y"/>
    <s v="N/A"/>
    <s v="Y"/>
    <s v="NA"/>
    <s v="N"/>
    <s v="Y"/>
    <s v="N"/>
    <n v="25000"/>
    <m/>
    <m/>
  </r>
  <r>
    <s v="Citibank"/>
    <x v="45"/>
    <x v="17"/>
    <m/>
    <x v="6"/>
    <s v="Heather Wilson"/>
    <m/>
    <s v="Y"/>
    <s v="N/A"/>
    <s v="Y"/>
    <s v="NA"/>
    <s v="N"/>
    <s v="TBD"/>
    <s v="N"/>
    <n v="0"/>
    <m/>
    <m/>
  </r>
  <r>
    <s v="Comerica"/>
    <x v="46"/>
    <x v="17"/>
    <m/>
    <x v="6"/>
    <s v="Heather Wilson"/>
    <m/>
    <s v="Y"/>
    <s v="N/A"/>
    <s v="Y"/>
    <s v="NA"/>
    <s v="N"/>
    <s v="TBD"/>
    <s v="N"/>
    <n v="0"/>
    <m/>
    <m/>
  </r>
  <r>
    <s v="FifthThrid"/>
    <x v="47"/>
    <x v="17"/>
    <m/>
    <x v="6"/>
    <s v="Heather Wilson"/>
    <m/>
    <s v="Y"/>
    <s v="N/A"/>
    <s v="Y"/>
    <s v="NA"/>
    <s v="N"/>
    <s v="TBD"/>
    <s v="N"/>
    <n v="0"/>
    <m/>
    <m/>
  </r>
  <r>
    <s v="JP Morgan"/>
    <x v="40"/>
    <x v="5"/>
    <m/>
    <x v="6"/>
    <s v="Heather Wilson"/>
    <m/>
    <s v="Y"/>
    <s v="N/A"/>
    <s v="Y"/>
    <s v="NA"/>
    <s v="N"/>
    <s v="TBD"/>
    <s v="N"/>
    <n v="0"/>
    <m/>
    <m/>
  </r>
  <r>
    <s v="Tovata"/>
    <x v="48"/>
    <x v="5"/>
    <m/>
    <x v="6"/>
    <s v="Heather Wilson"/>
    <m/>
    <s v="N"/>
    <s v="N/A"/>
    <m/>
    <s v="NA"/>
    <m/>
    <m/>
    <m/>
    <m/>
    <m/>
    <m/>
  </r>
  <r>
    <s v="VeraSmart"/>
    <x v="49"/>
    <x v="18"/>
    <m/>
    <x v="6"/>
    <s v="Josh Frick"/>
    <m/>
    <s v="N"/>
    <s v="N/A"/>
    <s v="Y"/>
    <s v="N"/>
    <s v="N"/>
    <s v="Y"/>
    <m/>
    <m/>
    <m/>
    <m/>
  </r>
  <r>
    <s v="Sabre"/>
    <x v="50"/>
    <x v="19"/>
    <m/>
    <x v="6"/>
    <s v="Lynn Tosi"/>
    <m/>
    <s v="N/A"/>
    <s v="N/A"/>
    <s v="Y"/>
    <s v="N"/>
    <s v="N"/>
    <s v="Y"/>
    <m/>
    <m/>
    <m/>
    <m/>
  </r>
  <r>
    <s v="Utilities International"/>
    <x v="51"/>
    <x v="20"/>
    <m/>
    <x v="6"/>
    <s v="Marc Bleckman"/>
    <m/>
    <s v="N"/>
    <s v="N"/>
    <s v="Y"/>
    <s v="N"/>
    <s v="Y"/>
    <s v="Y"/>
    <s v="Y"/>
    <m/>
    <m/>
    <s v="UI Planner Forecasting is currently undergoing an upgrade to the SaaS version."/>
  </r>
  <r>
    <s v="ACF Global Logistics"/>
    <x v="40"/>
    <x v="5"/>
    <m/>
    <x v="6"/>
    <s v="Matt Ruthig"/>
    <m/>
    <s v="N"/>
    <m/>
    <m/>
    <m/>
    <m/>
    <m/>
    <m/>
    <m/>
    <m/>
    <m/>
  </r>
  <r>
    <s v="Korasoft"/>
    <x v="52"/>
    <x v="21"/>
    <m/>
    <x v="6"/>
    <s v="Susie West"/>
    <m/>
    <s v="N"/>
    <s v="N"/>
    <s v="Y"/>
    <s v="Y"/>
    <s v="N"/>
    <s v="N"/>
    <m/>
    <m/>
    <m/>
    <s v="May move this to ESRI, Office Space Management"/>
  </r>
  <r>
    <s v="OneStream"/>
    <x v="53"/>
    <x v="22"/>
    <m/>
    <x v="6"/>
    <s v="Susie West"/>
    <m/>
    <s v="Y"/>
    <s v="N"/>
    <s v="Y"/>
    <s v="N"/>
    <s v="Y"/>
    <s v="Y"/>
    <s v="Y"/>
    <n v="50000"/>
    <m/>
    <s v="May not need KPMG"/>
  </r>
  <r>
    <s v="OpenText"/>
    <x v="54"/>
    <x v="23"/>
    <m/>
    <x v="6"/>
    <s v="Susie West"/>
    <m/>
    <s v="N"/>
    <s v="N"/>
    <s v="Y"/>
    <s v="Y"/>
    <m/>
    <s v="Y"/>
    <m/>
    <n v="50000"/>
    <m/>
    <m/>
  </r>
  <r>
    <s v="Powerplan"/>
    <x v="55"/>
    <x v="24"/>
    <m/>
    <x v="6"/>
    <s v="Susie West"/>
    <m/>
    <s v="N"/>
    <s v="Y"/>
    <s v="Y"/>
    <s v="N"/>
    <s v="Y"/>
    <s v="Y"/>
    <s v="Y"/>
    <n v="750000"/>
    <m/>
    <s v="Not contacting Powerplan yet.  If we keep Powerplan only temporarily, just do the bare minimum to get it working.  If we will keep longer term, need to use their S/4 adapter"/>
  </r>
  <r>
    <s v="ONAPSIS "/>
    <x v="56"/>
    <x v="25"/>
    <m/>
    <x v="7"/>
    <s v="Rizwan  Latif"/>
    <m/>
    <m/>
    <m/>
    <m/>
    <m/>
    <m/>
    <m/>
    <m/>
    <m/>
    <m/>
    <m/>
  </r>
  <r>
    <s v="Biztalk "/>
    <x v="57"/>
    <x v="26"/>
    <m/>
    <x v="7"/>
    <s v="Dennis Kailing"/>
    <m/>
    <m/>
    <m/>
    <m/>
    <m/>
    <m/>
    <m/>
    <m/>
    <m/>
    <m/>
    <m/>
  </r>
  <r>
    <s v="FirstLogic"/>
    <x v="58"/>
    <x v="27"/>
    <m/>
    <x v="7"/>
    <s v="Dennis Kailing"/>
    <m/>
    <m/>
    <m/>
    <m/>
    <m/>
    <m/>
    <m/>
    <m/>
    <m/>
    <m/>
    <m/>
  </r>
  <r>
    <s v="Attunity"/>
    <x v="59"/>
    <x v="28"/>
    <m/>
    <x v="7"/>
    <s v="Rizwan  Latif"/>
    <m/>
    <m/>
    <m/>
    <m/>
    <m/>
    <m/>
    <m/>
    <m/>
    <m/>
    <m/>
    <m/>
  </r>
  <r>
    <s v="ISIS Papyrus"/>
    <x v="60"/>
    <x v="29"/>
    <m/>
    <x v="7"/>
    <s v="Dennis Kailing"/>
    <m/>
    <m/>
    <m/>
    <m/>
    <m/>
    <m/>
    <m/>
    <m/>
    <m/>
    <m/>
    <m/>
  </r>
  <r>
    <s v="Libelle"/>
    <x v="61"/>
    <x v="30"/>
    <m/>
    <x v="7"/>
    <s v="Rizwan  Latif"/>
    <m/>
    <m/>
    <m/>
    <m/>
    <m/>
    <m/>
    <m/>
    <m/>
    <m/>
    <m/>
    <m/>
  </r>
  <r>
    <s v="Redwood (Run my job)"/>
    <x v="62"/>
    <x v="31"/>
    <m/>
    <x v="7"/>
    <s v="Rizwan  Latif"/>
    <m/>
    <m/>
    <m/>
    <m/>
    <m/>
    <m/>
    <m/>
    <m/>
    <m/>
    <m/>
    <m/>
  </r>
  <r>
    <s v="JDMS"/>
    <x v="63"/>
    <x v="32"/>
    <m/>
    <x v="8"/>
    <s v="Amie Ostrander"/>
    <m/>
    <m/>
    <s v="Y"/>
    <m/>
    <m/>
    <m/>
    <m/>
    <m/>
    <n v="0"/>
    <n v="0.8"/>
    <m/>
  </r>
  <r>
    <s v="SAP SuccessFactor"/>
    <x v="64"/>
    <x v="33"/>
    <m/>
    <x v="8"/>
    <s v="Amie Ostrander"/>
    <m/>
    <m/>
    <s v="Y"/>
    <s v="Y"/>
    <m/>
    <m/>
    <s v="Y"/>
    <m/>
    <n v="0"/>
    <n v="0.8"/>
    <s v="Included in SI Scope. Other Contact: Michael Wright"/>
  </r>
  <r>
    <s v="SAP SuccessFactor"/>
    <x v="65"/>
    <x v="34"/>
    <m/>
    <x v="8"/>
    <s v="Amie Ostrander"/>
    <m/>
    <m/>
    <s v="Y"/>
    <s v="Y"/>
    <m/>
    <m/>
    <s v="Y"/>
    <m/>
    <n v="0"/>
    <n v="0.8"/>
    <s v="Included in SI Scope. Other Contact: LaShanna Jackson"/>
  </r>
  <r>
    <s v="SAP SuccessFactor "/>
    <x v="66"/>
    <x v="35"/>
    <m/>
    <x v="8"/>
    <s v="Amie Ostrander"/>
    <m/>
    <m/>
    <s v="Y"/>
    <s v="Y"/>
    <m/>
    <m/>
    <s v="Y"/>
    <m/>
    <n v="0"/>
    <n v="0.8"/>
    <s v="Included in SI Scope. Other Contact: Kelly McKinstry"/>
  </r>
  <r>
    <s v="SAP SuccessFactor "/>
    <x v="67"/>
    <x v="36"/>
    <m/>
    <x v="8"/>
    <s v="Amie Ostrander"/>
    <m/>
    <m/>
    <s v="Y"/>
    <s v="Y"/>
    <m/>
    <m/>
    <s v="Y"/>
    <m/>
    <n v="0"/>
    <n v="0.8"/>
    <s v="Included in SI Scope. Other Contact: Kelly McKinstry"/>
  </r>
  <r>
    <s v="SAP SuccessFactor "/>
    <x v="68"/>
    <x v="37"/>
    <m/>
    <x v="8"/>
    <s v="Amie Ostrander"/>
    <m/>
    <m/>
    <s v="Y"/>
    <s v="Y"/>
    <m/>
    <m/>
    <s v="Y"/>
    <m/>
    <n v="0"/>
    <n v="0.8"/>
    <s v="Included in SI Scope. Other Contact: LaShanna Jackson"/>
  </r>
  <r>
    <s v="Service Now HR"/>
    <x v="69"/>
    <x v="38"/>
    <m/>
    <x v="8"/>
    <s v="Heather Krieger"/>
    <m/>
    <m/>
    <m/>
    <s v="Y"/>
    <m/>
    <m/>
    <s v="Y"/>
    <m/>
    <n v="250000"/>
    <n v="0.75"/>
    <s v="Estimate from Pam for if Consumers couldn't do the work. Other Contact: Pam Long"/>
  </r>
  <r>
    <s v="Absence Plus (Replacing Reed Group)"/>
    <x v="70"/>
    <x v="39"/>
    <m/>
    <x v="8"/>
    <s v="Peter Miller"/>
    <m/>
    <m/>
    <m/>
    <s v="Y"/>
    <m/>
    <m/>
    <s v="Y"/>
    <m/>
    <n v="10000"/>
    <n v="0.5"/>
    <s v="Business Partner: Rebecca Parris"/>
  </r>
  <r>
    <s v="Aspire"/>
    <x v="71"/>
    <x v="40"/>
    <m/>
    <x v="8"/>
    <s v="Peter Miller"/>
    <m/>
    <m/>
    <s v="Y"/>
    <m/>
    <m/>
    <m/>
    <s v="Y"/>
    <m/>
    <n v="10000"/>
    <n v="0.9"/>
    <s v="Business Partner: Krista Jared"/>
  </r>
  <r>
    <s v="BSI Tax factory "/>
    <x v="72"/>
    <x v="41"/>
    <m/>
    <x v="8"/>
    <s v="Peter Miller"/>
    <m/>
    <m/>
    <s v="Y"/>
    <s v="Y"/>
    <m/>
    <s v="Y"/>
    <m/>
    <m/>
    <n v="10000"/>
    <n v="0.8"/>
    <s v="Business Partner: Krista Jared"/>
  </r>
  <r>
    <s v="CompOne (Replacing Broadspire)"/>
    <x v="73"/>
    <x v="42"/>
    <m/>
    <x v="8"/>
    <s v="Peter Miller"/>
    <m/>
    <m/>
    <m/>
    <s v="Y"/>
    <m/>
    <m/>
    <s v="Y"/>
    <m/>
    <n v="10000"/>
    <n v="0.5"/>
    <s v="Business Partner: Rebecca Parris"/>
  </r>
  <r>
    <s v="Dayforce/Ceridian"/>
    <x v="74"/>
    <x v="43"/>
    <m/>
    <x v="8"/>
    <s v="Peter Miller"/>
    <m/>
    <m/>
    <s v="Y"/>
    <s v="Y"/>
    <m/>
    <s v="Y"/>
    <s v="Y"/>
    <m/>
    <n v="10000"/>
    <n v="0.5"/>
    <s v="Business Partner: Krista Jared"/>
  </r>
  <r>
    <s v="Devonway"/>
    <x v="75"/>
    <x v="44"/>
    <m/>
    <x v="8"/>
    <s v="Peter Miller"/>
    <m/>
    <m/>
    <m/>
    <s v="Y"/>
    <m/>
    <m/>
    <s v="Y"/>
    <m/>
    <n v="10000"/>
    <n v="0.5"/>
    <s v="Business Partner: Rocky May"/>
  </r>
  <r>
    <s v="Equinity"/>
    <x v="76"/>
    <x v="45"/>
    <m/>
    <x v="8"/>
    <s v="Peter Miller"/>
    <m/>
    <m/>
    <m/>
    <s v="Y"/>
    <m/>
    <m/>
    <s v="Y"/>
    <m/>
    <n v="10000"/>
    <n v="0.5"/>
    <s v="Business Partner: Amy Conrad"/>
  </r>
  <r>
    <s v="Fidelity"/>
    <x v="77"/>
    <x v="46"/>
    <m/>
    <x v="8"/>
    <s v="Peter Miller"/>
    <m/>
    <m/>
    <s v="Y"/>
    <s v="Y"/>
    <m/>
    <m/>
    <s v="Y"/>
    <s v="?"/>
    <n v="75000"/>
    <n v="0.75"/>
    <s v="7 file based integrations.  May be moving to API's but unknown cost, scope, timeing at this time. Business Partner: Linda Desorcie"/>
  </r>
  <r>
    <s v="FitPro"/>
    <x v="78"/>
    <x v="47"/>
    <m/>
    <x v="8"/>
    <s v="Peter Miller"/>
    <m/>
    <m/>
    <m/>
    <s v="Y"/>
    <m/>
    <m/>
    <s v="Y"/>
    <m/>
    <n v="0"/>
    <n v="0.5"/>
    <s v="Other Contact: Amy Cummings"/>
  </r>
  <r>
    <s v="Live Well 365"/>
    <x v="79"/>
    <x v="48"/>
    <m/>
    <x v="8"/>
    <s v="Peter Miller"/>
    <m/>
    <m/>
    <m/>
    <s v="Y"/>
    <m/>
    <m/>
    <s v="Y"/>
    <m/>
    <n v="0"/>
    <n v="0.5"/>
    <s v="Business Partner: Heather Guilbault"/>
  </r>
  <r>
    <s v="Magnit"/>
    <x v="80"/>
    <x v="49"/>
    <m/>
    <x v="8"/>
    <s v="Peter Miller"/>
    <m/>
    <m/>
    <m/>
    <m/>
    <m/>
    <m/>
    <m/>
    <m/>
    <n v="10000"/>
    <n v="0.5"/>
    <s v="Business Partner: Stefanie Pritchard"/>
  </r>
  <r>
    <s v="Market Pay"/>
    <x v="81"/>
    <x v="50"/>
    <m/>
    <x v="8"/>
    <s v="Peter Miller"/>
    <m/>
    <m/>
    <m/>
    <s v="Y"/>
    <m/>
    <m/>
    <s v="Y"/>
    <m/>
    <n v="10000"/>
    <n v="0.5"/>
    <s v="Business Partner: Amy Conrad"/>
  </r>
  <r>
    <s v="Qualtrics"/>
    <x v="82"/>
    <x v="51"/>
    <m/>
    <x v="8"/>
    <s v="Peter Miller"/>
    <m/>
    <m/>
    <m/>
    <s v="Y"/>
    <m/>
    <m/>
    <s v="Y"/>
    <m/>
    <n v="0"/>
    <n v="0.5"/>
    <s v="Business Partner: Caitlin Tetrick"/>
  </r>
  <r>
    <s v="Quorum"/>
    <x v="83"/>
    <x v="52"/>
    <m/>
    <x v="8"/>
    <s v="Peter Miller"/>
    <m/>
    <m/>
    <m/>
    <s v="Y"/>
    <m/>
    <m/>
    <s v="Y"/>
    <m/>
    <n v="10000"/>
    <n v="0.5"/>
    <s v="Business Partner: Hillary Kipp"/>
  </r>
  <r>
    <s v="Saba Org Planning"/>
    <x v="84"/>
    <x v="53"/>
    <m/>
    <x v="8"/>
    <s v="Peter Miller"/>
    <m/>
    <m/>
    <m/>
    <s v="Y"/>
    <m/>
    <m/>
    <s v="Y"/>
    <m/>
    <n v="0"/>
    <n v="0.8"/>
    <s v="Other Contact: Amy Cummings"/>
  </r>
  <r>
    <s v="SAP Callidus/BCC"/>
    <x v="85"/>
    <x v="54"/>
    <m/>
    <x v="8"/>
    <s v="Peter Miller"/>
    <m/>
    <m/>
    <m/>
    <s v="Y"/>
    <m/>
    <m/>
    <s v="Y"/>
    <m/>
    <n v="20000"/>
    <n v="0.5"/>
    <s v="Business Partner: Amy Conrad"/>
  </r>
  <r>
    <s v="Sodales"/>
    <x v="86"/>
    <x v="55"/>
    <m/>
    <x v="8"/>
    <s v="Peter Miller"/>
    <m/>
    <m/>
    <m/>
    <s v="Y"/>
    <m/>
    <m/>
    <s v="Y"/>
    <s v="Y"/>
    <n v="10000"/>
    <n v="0.5"/>
    <s v="Business Partner: Rachel Babale; Other Contact: Brindha Thavamani"/>
  </r>
  <r>
    <s v="Sodales"/>
    <x v="87"/>
    <x v="56"/>
    <m/>
    <x v="8"/>
    <s v="Peter Miller"/>
    <m/>
    <m/>
    <m/>
    <s v="Y"/>
    <m/>
    <m/>
    <s v="Y"/>
    <s v="Y"/>
    <n v="10000"/>
    <n v="0.5"/>
    <s v="Business Partner: Rachel Babale; Other Contact: Brindha Thavamani"/>
  </r>
  <r>
    <s v="Sodales"/>
    <x v="88"/>
    <x v="57"/>
    <m/>
    <x v="8"/>
    <s v="Peter Miller"/>
    <m/>
    <m/>
    <m/>
    <s v="Y"/>
    <m/>
    <m/>
    <s v="Y"/>
    <s v="Y"/>
    <n v="10000"/>
    <n v="0.5"/>
    <s v="Business Partner: Rachel Babale; Other Contact: Brindha Thavamani"/>
  </r>
  <r>
    <s v="TaxPort"/>
    <x v="89"/>
    <x v="58"/>
    <m/>
    <x v="8"/>
    <s v="Peter Miller"/>
    <m/>
    <m/>
    <m/>
    <s v="Y"/>
    <m/>
    <m/>
    <s v="Y"/>
    <m/>
    <n v="10000"/>
    <n v="0.5"/>
    <s v="Business Partner: Heather Guilbault"/>
  </r>
  <r>
    <s v="Workshop"/>
    <x v="90"/>
    <x v="59"/>
    <m/>
    <x v="8"/>
    <s v="Peter Miller"/>
    <m/>
    <m/>
    <m/>
    <s v="Y"/>
    <m/>
    <m/>
    <s v="Y"/>
    <m/>
    <n v="10000"/>
    <n v="0.5"/>
    <s v="Business Partner: Suzanne McCloskey"/>
  </r>
  <r>
    <s v="Polite Mail"/>
    <x v="91"/>
    <x v="60"/>
    <m/>
    <x v="8"/>
    <s v="Suzanne McCloskey"/>
    <m/>
    <m/>
    <m/>
    <s v="Y"/>
    <m/>
    <m/>
    <s v="Y"/>
    <m/>
    <n v="0"/>
    <n v="0.9"/>
    <m/>
  </r>
  <r>
    <s v="WOOD MACKENZIE INC (20030871)"/>
    <x v="92"/>
    <x v="61"/>
    <s v="BizTalk Outbound to PowerAdvocate (they do not have APIs for ingesting data)_x000a__x000a_/export/ceaP/ECP/int/staging_out/sc/SC_PowerAdvocate_PCard_*.csv_x000a__x000a_/export/ceaP/ECP/int/staging_out/sc/SC_PowerAdvocate_TE_*.csv_x000a__x000a_/export/ceaP/ECP/int/staging_out/sc/CE_Ariba_SV_SAP_*.zip"/>
    <x v="9"/>
    <s v="Dylan Haan"/>
    <s v="Schwartz, Isabel &lt;isabel.schwartz@woodmac.com&gt;"/>
    <s v="Y"/>
    <s v="Y"/>
    <s v="Y"/>
    <s v="Not Likely"/>
    <s v="Not Likely"/>
    <s v="Possibly"/>
    <s v="Not Sure"/>
    <n v="50000"/>
    <n v="0.25"/>
    <s v="•Already have other customers using SAP S/4_x000a_•There is the option to update the data extract when a customer moves over to S/4 HANA and we would recommend that Consumers do this _x000a_•Do Not have APIs for ingesting data. "/>
  </r>
  <r>
    <s v="SERVICENOW INC (20025075)"/>
    <x v="93"/>
    <x v="62"/>
    <s v="SC_INT_200 - PO/API custom internally built supported internally (not by vendor) Outbound to ServiceNow_x000a__x000a_SC_INT_220 - PO/API custom internally built supported internally (not by vendor) Outbound to ServiceNow_x000a__x000a_SC_INT_221 - PO/API custom internally built supported internally (not by vendor) Inbound to SAP_x000a__x000a_SC_INT_210 - PO/API custom internally built supported internally (not by vendor) Inbound to SAP_x000a__x000a_FI_INT_1000 - BizTalk; custom internally built supported internally (not by vendor) Outbound to ServiceNow; Replaced Enlighta; Venky and Vas both felt this should be owned/supported by FI; ZSC_INT package; Program name ZSC_PO_EXTRACT_FOR_SN; T-code: ZSC_PO_4SN_x000a_"/>
    <x v="9"/>
    <s v="Heather Krieger, Luke Smith"/>
    <s v="?"/>
    <s v="No"/>
    <s v="Y-Likely"/>
    <s v="N-Not Likely"/>
    <s v="Not Likely"/>
    <s v="Not Likely"/>
    <s v="Possibly"/>
    <s v="Not Likely"/>
    <n v="0"/>
    <n v="0.25"/>
    <s v="Spoke with Luke Smith and Venky Aradhyula on 8/15/2025, and we all agreed that there is a low risk the vendor should have much impact or effort on their side and we are not expecting a SOW or costs implications from them.  Per Luke Smith: &quot;Since currently the interface is all custom built we would be responsible for making sure it works with S4.  We have the internal expertise to make these changes.&quot;_x000a__x000a_4 of the 5 interfaces are SC using PO/APIs; the 5th was built by Finance (Venky) and is using BizTalk"/>
  </r>
  <r>
    <s v="ACF GLOBAL LOGISTICS LLC (20032760)"/>
    <x v="94"/>
    <x v="63"/>
    <s v="SC_INT_090 - PO and BizTalk Outbound to ACF_x000a__x000a_•_x0009_Per Vas, he has Roger Deaver as a contact roger@4c-it.com (not sure if you have someone different)_x000a_•_x0009_DFX SFX Incoterms triggers the Outbound PO file to ACF (SC_INT_090)_x000a_•_x0009_ACF then sends us an Inbound Invoice file (FI_INT_880)"/>
    <x v="9"/>
    <s v="Lisa Hibbler; Katrina Ramsey"/>
    <s v="?"/>
    <s v="Y"/>
    <s v="Y-Likely"/>
    <s v="Y"/>
    <s v="Not Likely"/>
    <s v="Not Likely"/>
    <s v="Possibly"/>
    <s v="Not Sure"/>
    <n v="50000"/>
    <n v="0.25"/>
    <s v="Not provided any cost impact or estimate, but the vendor indicated they could support APIs if we wanted to move that direction which may then have SOW or cost implications."/>
  </r>
  <r>
    <s v="3M COMPANY (20027946)"/>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ALRO STEEL CORP (20007334)"/>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BORDER STATES ELECTRIC SUPPLY (20017997)"/>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CHOCTAW-KAUL DISTRIBUTION CO (20013376)"/>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COOPER POWER SYSTEMS (20000649)"/>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ERMCO (20007248)"/>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FLEET CHARGE (20022552)"/>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FORBERG SMITH PROCESS SOLUTIONS (20000368)"/>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GRAYBAR ELECTRIC COMPANY (20000538)"/>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GROEBNER &amp; ASSOCIATES INC (20004145)"/>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GROEBNER &amp; ASSOCIATES INC (20009428)"/>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HUBBELL POWER SYSTEMS (20010999)"/>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MOTION INDUSTRIES INC (20000674)"/>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MOTION INDUSTRIES INC (20000676)"/>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POWER LINE SUPPLY COMPANY (20000945)"/>
    <x v="95"/>
    <x v="64"/>
    <s v="EDI"/>
    <x v="9"/>
    <s v="Matt Turner, Matt Herbert"/>
    <s v="?"/>
    <s v="N"/>
    <s v="Y-Likely"/>
    <s v="Regession Testing"/>
    <s v="Unlikely"/>
    <s v="Unlikely"/>
    <s v="Unlikely"/>
    <s v="Unlikely"/>
    <n v="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r>
  <r>
    <s v="ISN SOFTWARE CORPORATION (20029874)"/>
    <x v="96"/>
    <x v="65"/>
    <s v="SC_ISN_101 -  PO/API based Outbound to ISN_x000a_SC_ISN_102 -  PO/API based Outbound to ISN_x000a_SC_ISN_103 -  PO/API based Outbound to ISN_x000a_SC_ISN_104 -  PO/API based Outbound to ISN_x000a_SC_ISN_105 -  PO/API based Outbound to ISN"/>
    <x v="9"/>
    <s v="Nicole L Choponis"/>
    <s v="?"/>
    <s v="N"/>
    <s v="Y-Likely"/>
    <s v="Y"/>
    <s v="Not Likely"/>
    <s v="Not Likely"/>
    <s v="Not Likely"/>
    <s v="Not Likely"/>
    <n v="0"/>
    <n v="0.25"/>
    <s v="Spoke with Matt Herbert on 8/25/2025, and we both agreed that there is a low risk the vendor should have much impact or effort on their side and we are not expecting a SOW or costs implications from them."/>
  </r>
  <r>
    <s v="Bentley"/>
    <x v="97"/>
    <x v="66"/>
    <s v="PO"/>
    <x v="10"/>
    <s v="Abbie J. Egherman &lt;ABBIE.EGHERMAN@cmsenergy.com&gt;_x000a_c:  734-975-0828"/>
    <m/>
    <m/>
    <m/>
    <m/>
    <m/>
    <m/>
    <m/>
    <m/>
    <m/>
    <m/>
    <m/>
  </r>
  <r>
    <s v="Bentley"/>
    <x v="98"/>
    <x v="67"/>
    <s v="PO"/>
    <x v="10"/>
    <s v="Abbie J. Egherman &lt;ABBIE.EGHERMAN@cmsenergy.com&gt;_x000a_c:  734-975-0828"/>
    <m/>
    <m/>
    <m/>
    <m/>
    <m/>
    <m/>
    <m/>
    <m/>
    <m/>
    <m/>
    <m/>
  </r>
  <r>
    <s v="Bentley"/>
    <x v="99"/>
    <x v="68"/>
    <s v="PO"/>
    <x v="10"/>
    <s v="Abbie J. Egherman &lt;ABBIE.EGHERMAN@cmsenergy.com&gt;_x000a_c:  734-975-0828"/>
    <m/>
    <m/>
    <m/>
    <m/>
    <m/>
    <m/>
    <m/>
    <m/>
    <m/>
    <m/>
    <m/>
  </r>
  <r>
    <s v="Bentley"/>
    <x v="100"/>
    <x v="69"/>
    <s v="PO"/>
    <x v="10"/>
    <s v="Abbie J. Egherman &lt;ABBIE.EGHERMAN@cmsenergy.com&gt;_x000a_c:  734-975-0828"/>
    <m/>
    <m/>
    <m/>
    <m/>
    <m/>
    <m/>
    <m/>
    <m/>
    <m/>
    <m/>
    <m/>
  </r>
  <r>
    <s v="Bentley"/>
    <x v="101"/>
    <x v="70"/>
    <s v="PO"/>
    <x v="10"/>
    <s v="Abbie J. Egherman &lt;ABBIE.EGHERMAN@cmsenergy.com&gt;_x000a_c:  734-975-0828"/>
    <m/>
    <m/>
    <m/>
    <m/>
    <m/>
    <m/>
    <m/>
    <m/>
    <m/>
    <m/>
    <m/>
  </r>
  <r>
    <s v="Bentley"/>
    <x v="102"/>
    <x v="71"/>
    <s v="PO"/>
    <x v="10"/>
    <s v="Abbie J. Egherman &lt;ABBIE.EGHERMAN@cmsenergy.com&gt;_x000a_c:  734-975-0828"/>
    <m/>
    <m/>
    <m/>
    <m/>
    <m/>
    <m/>
    <m/>
    <m/>
    <m/>
    <m/>
    <m/>
  </r>
  <r>
    <s v="Bentley"/>
    <x v="103"/>
    <x v="72"/>
    <s v="PO"/>
    <x v="10"/>
    <s v="Abbie J. Egherman &lt;ABBIE.EGHERMAN@cmsenergy.com&gt;_x000a_c:  734-975-0828"/>
    <m/>
    <m/>
    <m/>
    <m/>
    <m/>
    <m/>
    <m/>
    <m/>
    <m/>
    <m/>
    <m/>
  </r>
  <r>
    <s v="Itron"/>
    <x v="104"/>
    <x v="73"/>
    <m/>
    <x v="10"/>
    <s v="Alex Dekamp/Tom Esser"/>
    <m/>
    <m/>
    <m/>
    <m/>
    <m/>
    <m/>
    <m/>
    <m/>
    <m/>
    <m/>
    <m/>
  </r>
  <r>
    <s v="Itron"/>
    <x v="105"/>
    <x v="74"/>
    <s v="PO, Axway, ESB"/>
    <x v="10"/>
    <s v="Alexander Dekamp/Thomas Esser"/>
    <m/>
    <m/>
    <m/>
    <m/>
    <m/>
    <m/>
    <m/>
    <m/>
    <m/>
    <m/>
    <m/>
  </r>
  <r>
    <s v="ARCOS"/>
    <x v="106"/>
    <x v="75"/>
    <s v="PO, Azure APIM"/>
    <x v="10"/>
    <s v="Amanda Gomez"/>
    <m/>
    <m/>
    <m/>
    <m/>
    <m/>
    <m/>
    <m/>
    <m/>
    <m/>
    <m/>
    <m/>
  </r>
  <r>
    <s v="In house + ESRI "/>
    <x v="107"/>
    <x v="76"/>
    <s v="PO"/>
    <x v="10"/>
    <s v="Benjamin Ericksen ; _x000a_Jonathan Demuth 1 &lt;Jonathan.Demuth1@cmsenergy.com&gt;_x000a_c: 315-657-7514"/>
    <m/>
    <m/>
    <m/>
    <m/>
    <m/>
    <m/>
    <m/>
    <m/>
    <m/>
    <m/>
    <m/>
  </r>
  <r>
    <s v="Bentley"/>
    <x v="108"/>
    <x v="77"/>
    <s v="PO, ESB, Axway"/>
    <x v="10"/>
    <s v="Brandon M. Kroth_x000a_Document Control/ERC/Drafting/ProjectWise Manager_x000a_Electric Supply Engineering_x000a_Consumers Energy  |  P14-403  |  1945 W. Parnall  |  Jackson, MI 49201_x000a_O  517.788.1579  |  M  517.403.8441  |  Brandon.Kroth@cmsenergy.com_x000a__x000a_Charisse Klumpp_x000a_Director of Gas Asset Information_x000a_ Cell 517-257-8947 |  Teams Chat_x000a_ charisse.klumpp@cmsenergy.com"/>
    <m/>
    <m/>
    <m/>
    <m/>
    <m/>
    <m/>
    <m/>
    <m/>
    <m/>
    <m/>
    <m/>
  </r>
  <r>
    <s v="Energy World Net"/>
    <x v="109"/>
    <x v="78"/>
    <m/>
    <x v="10"/>
    <s v="China Threat (Williams)_x000a_Jeremy Hall"/>
    <m/>
    <m/>
    <m/>
    <m/>
    <m/>
    <m/>
    <m/>
    <m/>
    <m/>
    <m/>
    <m/>
  </r>
  <r>
    <s v="IEE"/>
    <x v="110"/>
    <x v="2"/>
    <s v="PO, Axway, ESB"/>
    <x v="10"/>
    <s v="David Shanks/Jacqueline Knight"/>
    <m/>
    <m/>
    <m/>
    <m/>
    <m/>
    <m/>
    <m/>
    <m/>
    <m/>
    <m/>
    <m/>
  </r>
  <r>
    <s v="Radian Research, Inc."/>
    <x v="111"/>
    <x v="79"/>
    <s v="File based integration (did we change to WS?)"/>
    <x v="10"/>
    <s v="DEAN L MARTIN/Jennifer Wallingford"/>
    <m/>
    <m/>
    <m/>
    <m/>
    <m/>
    <m/>
    <m/>
    <m/>
    <m/>
    <m/>
    <m/>
  </r>
  <r>
    <s v="CopperLeaf"/>
    <x v="112"/>
    <x v="80"/>
    <s v="No Integrations with SAP"/>
    <x v="10"/>
    <s v="Duncan Patterson"/>
    <m/>
    <m/>
    <m/>
    <m/>
    <m/>
    <m/>
    <m/>
    <m/>
    <m/>
    <m/>
    <m/>
  </r>
  <r>
    <s v="Copperleaf"/>
    <x v="112"/>
    <x v="80"/>
    <s v="No Integrations with SAP"/>
    <x v="10"/>
    <s v="Duncan Patterson"/>
    <m/>
    <m/>
    <m/>
    <m/>
    <m/>
    <m/>
    <m/>
    <m/>
    <m/>
    <m/>
    <m/>
  </r>
  <r>
    <s v="FieldNet"/>
    <x v="113"/>
    <x v="81"/>
    <s v="PO, Axway"/>
    <x v="10"/>
    <s v="Jason Christie"/>
    <m/>
    <m/>
    <m/>
    <m/>
    <m/>
    <m/>
    <m/>
    <m/>
    <m/>
    <m/>
    <m/>
  </r>
  <r>
    <s v="AspenTech (OSII)"/>
    <x v="114"/>
    <x v="82"/>
    <s v="PO, ESB, Axway"/>
    <x v="10"/>
    <s v="Jen Wallingford"/>
    <m/>
    <m/>
    <m/>
    <m/>
    <m/>
    <m/>
    <m/>
    <m/>
    <m/>
    <m/>
    <m/>
  </r>
  <r>
    <s v="Hitachi"/>
    <x v="115"/>
    <x v="83"/>
    <s v="PO"/>
    <x v="10"/>
    <s v="Jennifer Wallingford"/>
    <m/>
    <m/>
    <m/>
    <m/>
    <m/>
    <m/>
    <m/>
    <m/>
    <m/>
    <m/>
    <m/>
  </r>
  <r>
    <s v="Hitachi"/>
    <x v="116"/>
    <x v="84"/>
    <s v="PO"/>
    <x v="10"/>
    <s v="Jennifer Wallingford"/>
    <m/>
    <m/>
    <m/>
    <m/>
    <m/>
    <m/>
    <m/>
    <m/>
    <m/>
    <m/>
    <m/>
  </r>
  <r>
    <s v="Itron"/>
    <x v="117"/>
    <x v="85"/>
    <s v="PO, Axway, ESB"/>
    <x v="10"/>
    <s v="Jennifer Wallingford"/>
    <m/>
    <m/>
    <m/>
    <m/>
    <m/>
    <m/>
    <m/>
    <m/>
    <m/>
    <m/>
    <m/>
  </r>
  <r>
    <s v="Itron"/>
    <x v="118"/>
    <x v="86"/>
    <s v="PO, Axway, ESB"/>
    <x v="10"/>
    <s v="Jennifer Wallingford"/>
    <m/>
    <m/>
    <m/>
    <m/>
    <m/>
    <m/>
    <m/>
    <m/>
    <m/>
    <m/>
    <m/>
  </r>
  <r>
    <s v="Itron"/>
    <x v="119"/>
    <x v="87"/>
    <s v="Probably MV90?"/>
    <x v="10"/>
    <s v="Jennifer Wallingford"/>
    <m/>
    <m/>
    <m/>
    <m/>
    <m/>
    <m/>
    <m/>
    <m/>
    <m/>
    <m/>
    <m/>
  </r>
  <r>
    <s v="Oracle"/>
    <x v="120"/>
    <x v="88"/>
    <s v="Combined with Unifier as a package"/>
    <x v="10"/>
    <s v="Jennifer Wallingford"/>
    <m/>
    <m/>
    <m/>
    <m/>
    <m/>
    <m/>
    <m/>
    <m/>
    <m/>
    <m/>
    <m/>
  </r>
  <r>
    <s v="Oracle"/>
    <x v="121"/>
    <x v="89"/>
    <s v="Combined with Unifier as a package"/>
    <x v="10"/>
    <s v="Jennifer Wallingford"/>
    <m/>
    <m/>
    <m/>
    <m/>
    <m/>
    <m/>
    <m/>
    <m/>
    <m/>
    <m/>
    <m/>
  </r>
  <r>
    <s v="Oracle"/>
    <x v="122"/>
    <x v="90"/>
    <s v="PO"/>
    <x v="10"/>
    <s v="Jennifer Wallingford"/>
    <m/>
    <m/>
    <m/>
    <m/>
    <m/>
    <m/>
    <m/>
    <m/>
    <m/>
    <m/>
    <m/>
  </r>
  <r>
    <s v="Trinovis"/>
    <x v="123"/>
    <x v="91"/>
    <s v="Combined with Unifier as a package"/>
    <x v="10"/>
    <s v="Jennifer Wallingford"/>
    <m/>
    <m/>
    <m/>
    <m/>
    <m/>
    <m/>
    <m/>
    <m/>
    <m/>
    <m/>
    <m/>
  </r>
  <r>
    <s v="Clevest"/>
    <x v="124"/>
    <x v="92"/>
    <m/>
    <x v="10"/>
    <s v="Jennifer Wallingford &amp; Carol Boyk"/>
    <m/>
    <m/>
    <m/>
    <m/>
    <m/>
    <m/>
    <m/>
    <m/>
    <m/>
    <m/>
    <m/>
  </r>
  <r>
    <s v="AspenTech (OSII)"/>
    <x v="125"/>
    <x v="93"/>
    <s v="PO, Tibco ESB"/>
    <x v="10"/>
    <s v="Krishna Karunakaram"/>
    <m/>
    <m/>
    <m/>
    <m/>
    <m/>
    <m/>
    <m/>
    <m/>
    <m/>
    <m/>
    <m/>
  </r>
  <r>
    <s v="AspenTech (OSII)"/>
    <x v="126"/>
    <x v="94"/>
    <s v="PO, Tibco ESB"/>
    <x v="10"/>
    <s v="Krishna Karunakaram"/>
    <m/>
    <m/>
    <m/>
    <m/>
    <m/>
    <m/>
    <m/>
    <m/>
    <m/>
    <m/>
    <m/>
  </r>
  <r>
    <s v="AspenTech (OSII)"/>
    <x v="127"/>
    <x v="95"/>
    <s v="PO, Tibco ESB"/>
    <x v="10"/>
    <s v="Krishna Karunakaram"/>
    <m/>
    <m/>
    <m/>
    <m/>
    <m/>
    <m/>
    <m/>
    <m/>
    <m/>
    <m/>
    <m/>
  </r>
  <r>
    <s v="ESRI"/>
    <x v="128"/>
    <x v="96"/>
    <m/>
    <x v="10"/>
    <s v="Liesl A. Smith &lt;LIESL.SMITH@cmsenergy.com&gt;_x000a_c: 517-303-9858_x000a_"/>
    <m/>
    <m/>
    <m/>
    <m/>
    <m/>
    <m/>
    <m/>
    <m/>
    <m/>
    <m/>
    <m/>
  </r>
  <r>
    <s v="ESRI"/>
    <x v="129"/>
    <x v="97"/>
    <m/>
    <x v="10"/>
    <s v="Liesl A. Smith &lt;LIESL.SMITH@cmsenergy.com&gt;_x000a_c: 517-303-9858_x000a_"/>
    <m/>
    <m/>
    <m/>
    <m/>
    <m/>
    <m/>
    <m/>
    <m/>
    <m/>
    <m/>
    <m/>
  </r>
  <r>
    <s v="ESRI"/>
    <x v="130"/>
    <x v="98"/>
    <m/>
    <x v="10"/>
    <s v="Matthew R. Faunt_x000a_ &lt;MATTHEW.FAUNT@cmsenergy.com&gt;_x000a_GIS Platform Administration_x000a_CX&amp;T-IT-Gas Supply &amp; Asset Management _x000a_C: 517-243-0454"/>
    <m/>
    <m/>
    <m/>
    <m/>
    <m/>
    <m/>
    <m/>
    <m/>
    <m/>
    <m/>
    <m/>
  </r>
  <r>
    <s v="ESRI"/>
    <x v="131"/>
    <x v="99"/>
    <m/>
    <x v="10"/>
    <s v="Matthew R. Faunt_x000a_ &lt;MATTHEW.FAUNT@cmsenergy.com&gt;_x000a_GIS Platform Administration_x000a_CX&amp;T-IT-Gas Supply &amp; Asset Management _x000a_C: 517-243-0454"/>
    <m/>
    <m/>
    <m/>
    <m/>
    <m/>
    <m/>
    <m/>
    <m/>
    <m/>
    <m/>
    <m/>
  </r>
  <r>
    <s v="ESRI"/>
    <x v="132"/>
    <x v="100"/>
    <m/>
    <x v="10"/>
    <s v="Matthew R. Faunt_x000a_ &lt;MATTHEW.FAUNT@cmsenergy.com&gt;_x000a_GIS Platform Administration_x000a_CX&amp;T-IT-Gas Supply &amp; Asset Management _x000a_C: 517-243-0454"/>
    <m/>
    <m/>
    <m/>
    <m/>
    <m/>
    <m/>
    <m/>
    <m/>
    <m/>
    <m/>
    <m/>
  </r>
  <r>
    <s v="DNV"/>
    <x v="133"/>
    <x v="101"/>
    <m/>
    <x v="10"/>
    <s v="Michael D. Cooper _x000a_"/>
    <m/>
    <m/>
    <m/>
    <m/>
    <m/>
    <m/>
    <m/>
    <m/>
    <m/>
    <m/>
    <m/>
  </r>
  <r>
    <s v="ESRI"/>
    <x v="134"/>
    <x v="102"/>
    <m/>
    <x v="10"/>
    <s v="Michael S. Scott &lt;MICHAEL.SCOTT@cmsenergy.com&gt;_x000a_517-788-1036_x000a_"/>
    <m/>
    <m/>
    <m/>
    <m/>
    <m/>
    <m/>
    <m/>
    <m/>
    <m/>
    <m/>
    <m/>
  </r>
  <r>
    <s v="GeoTab"/>
    <x v="135"/>
    <x v="103"/>
    <s v="Fleet, no SAP Integrations?"/>
    <x v="10"/>
    <s v="Michelle Stoimenoff "/>
    <m/>
    <m/>
    <m/>
    <m/>
    <m/>
    <m/>
    <m/>
    <m/>
    <m/>
    <m/>
    <m/>
  </r>
  <r>
    <s v="Hitachi"/>
    <x v="136"/>
    <x v="104"/>
    <m/>
    <x v="10"/>
    <s v="Mike Cooper"/>
    <m/>
    <m/>
    <m/>
    <m/>
    <m/>
    <m/>
    <m/>
    <m/>
    <m/>
    <m/>
    <m/>
  </r>
  <r>
    <s v="Irth Solutions"/>
    <x v="137"/>
    <x v="105"/>
    <m/>
    <x v="10"/>
    <s v="Mike Cooper"/>
    <m/>
    <m/>
    <m/>
    <m/>
    <m/>
    <m/>
    <m/>
    <m/>
    <m/>
    <m/>
    <m/>
  </r>
  <r>
    <s v="Itron"/>
    <x v="138"/>
    <x v="106"/>
    <m/>
    <x v="10"/>
    <s v="Scot Ward"/>
    <m/>
    <m/>
    <m/>
    <m/>
    <m/>
    <m/>
    <m/>
    <m/>
    <m/>
    <m/>
    <m/>
  </r>
  <r>
    <s v="Synergy and Megger"/>
    <x v="139"/>
    <x v="107"/>
    <s v="File based integration"/>
    <x v="10"/>
    <s v="Scot Ward/LUIS E ARCIENEGA"/>
    <m/>
    <m/>
    <m/>
    <m/>
    <m/>
    <m/>
    <m/>
    <m/>
    <m/>
    <m/>
    <m/>
  </r>
  <r>
    <s v="Fuelworx"/>
    <x v="140"/>
    <x v="108"/>
    <s v="Are we still using it?"/>
    <x v="10"/>
    <s v="Susie West"/>
    <m/>
    <m/>
    <m/>
    <m/>
    <m/>
    <m/>
    <m/>
    <m/>
    <m/>
    <m/>
    <m/>
  </r>
  <r>
    <s v="Korasoft"/>
    <x v="141"/>
    <x v="109"/>
    <s v="Space Management, follow-up"/>
    <x v="10"/>
    <s v="Susie West"/>
    <m/>
    <m/>
    <m/>
    <m/>
    <m/>
    <m/>
    <m/>
    <m/>
    <m/>
    <m/>
    <m/>
  </r>
  <r>
    <s v="DegreeDays.Net"/>
    <x v="142"/>
    <x v="110"/>
    <m/>
    <x v="0"/>
    <s v="Brad Herson"/>
    <s v="N/A"/>
    <s v="N"/>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x v="0"/>
    <s v="Business eBill"/>
    <s v="Business eBill"/>
    <s v="BizTalk/Axway"/>
    <x v="0"/>
    <s v="Christina Gipson"/>
    <s v="Ashley Robertson (609) 512-5068 arobertson@billtrust.com; _x000a_customerservice@billtrust.com"/>
    <s v="Y"/>
    <s v="Y"/>
    <s v="Y"/>
    <s v="NA"/>
    <s v="N"/>
    <m/>
    <m/>
    <n v="75000"/>
    <m/>
    <s v="BillTrust receives Utility Bills and makes the payments. The payment file comes as EDI for reconciliation in SAP system (EDI 820)"/>
    <s v="Susi DeBiasi"/>
    <m/>
    <s v="Tech Upgrade"/>
    <x v="0"/>
    <s v="EDI being upgraded as another project, should hopefully be just testing."/>
  </r>
  <r>
    <x v="1"/>
    <s v="Large Customer Rate Tool"/>
    <s v="Large Customer Rate Tool"/>
    <m/>
    <x v="1"/>
    <s v="Karalee M. McKinstry-Masker"/>
    <s v="Oscar.lo@gridx.com; Stephanie.Zaiken@gridx.com"/>
    <s v="Y"/>
    <s v="Y"/>
    <s v="Y"/>
    <s v="NA"/>
    <s v="TBD"/>
    <m/>
    <m/>
    <n v="50000"/>
    <m/>
    <s v="GridX can support S/4HANA, and we are already doing API and file transfers for this. GridX has tool called Calculate that can help with automated testing and complex rates."/>
    <s v="Susi DeBiasi"/>
    <m/>
    <s v="Tech Upgrade"/>
    <x v="1"/>
    <s v="Interfaces like TMD/BMD, Rates, Billing can just be a Tech upgrade and not re-write. Mostly Regression testing."/>
  </r>
  <r>
    <x v="2"/>
    <s v="DPO Card Readers"/>
    <s v="Integration"/>
    <m/>
    <x v="0"/>
    <s v="Kim Fick/Guy Miller"/>
    <s v="Contract from 2015.  TBD if still needed."/>
    <s v="N"/>
    <m/>
    <s v="TBD"/>
    <s v="TBD"/>
    <m/>
    <m/>
    <s v="TBD"/>
    <m/>
    <m/>
    <s v="CE is in the process of determining long term plan for DPOs and Credit Card acceptance.  Accepting CCs at DPOs may be eliminated altogether before S4 Implementation.  CE is operating under the same PO since 2016."/>
    <s v="Susi DeBiasi"/>
    <m/>
    <s v="Retire"/>
    <x v="2"/>
    <s v="Assuming it gets done prior to S4, accounting for testing."/>
  </r>
  <r>
    <x v="3"/>
    <s v="ECC Supplier"/>
    <s v="Integration"/>
    <m/>
    <x v="0"/>
    <s v="Zach Murphy &amp; Kristin Aungst"/>
    <s v="Kristin Fanto kristin.fanto@calpinesolutions.com"/>
    <s v="N-ECC"/>
    <s v="Y"/>
    <m/>
    <m/>
    <m/>
    <m/>
    <m/>
    <n v="20000"/>
    <m/>
    <m/>
    <s v="Susi DeBiasi"/>
    <s v="ECC/GCC"/>
    <s v="Tech Upgrade"/>
    <x v="3"/>
    <s v="ECC/GCC - assuming Tech upgrade and accounting for small size for engaging and testing, if the existing contract doesn't cover such reg testing."/>
  </r>
  <r>
    <x v="4"/>
    <s v="ECC Supplier"/>
    <s v="Integration"/>
    <m/>
    <x v="0"/>
    <s v="Zach Murphy &amp; Kristin Aungst"/>
    <s v="Mike Siciliano michelangelo.siciliano@nsce.com"/>
    <s v="N-ECC"/>
    <s v="Y"/>
    <m/>
    <m/>
    <m/>
    <m/>
    <m/>
    <n v="20000"/>
    <m/>
    <m/>
    <s v="Susi DeBiasi"/>
    <s v="ECC/GCC"/>
    <s v="Tech Upgrade"/>
    <x v="3"/>
    <s v="ECC/GCC - assuming Tech upgrade and accounting for small size for engaging and testing, if the existing contract doesn't cover such reg testing."/>
  </r>
  <r>
    <x v="5"/>
    <s v="ECC &amp; GCC Supplier"/>
    <s v="Integration"/>
    <m/>
    <x v="0"/>
    <s v="Zach Murphy &amp; Kristin Aungst"/>
    <s v="Separated under ECC and GCC"/>
    <s v="N-ECC"/>
    <s v="Y"/>
    <m/>
    <m/>
    <m/>
    <m/>
    <m/>
    <m/>
    <m/>
    <m/>
    <m/>
    <m/>
    <m/>
    <x v="4"/>
    <m/>
  </r>
  <r>
    <x v="6"/>
    <s v="ECC Supplier"/>
    <s v="Integration"/>
    <m/>
    <x v="0"/>
    <s v="Zach Murphy &amp; Kristin Aungst"/>
    <s v="GreatLakes_RetailOperations@constellation.com; _x000a_Ana Gutierrez Ana.Gutierrez@constellation.com;_x000a_Tonia Lively Tonia.Lively@constellation.com"/>
    <s v="N-ECC Preferred Supplier for S4 Testing"/>
    <s v="Y"/>
    <m/>
    <m/>
    <m/>
    <m/>
    <m/>
    <n v="20000"/>
    <m/>
    <m/>
    <s v="Susi DeBiasi"/>
    <s v="ECC/GCC"/>
    <s v="Tech Upgrade"/>
    <x v="3"/>
    <s v="ECC/GCC - assuming Tech upgrade and accounting for small size for engaging and testing, if the existing contract doesn't cover such reg testing."/>
  </r>
  <r>
    <x v="7"/>
    <s v="ECC Supplier"/>
    <s v="Integration"/>
    <m/>
    <x v="0"/>
    <s v="Zach Murphy &amp; Kristin Aungst"/>
    <s v="_DEBUtilityOperations@nrg.com; _x000a_Rebekah Devorak Rebekah.devorak@nrg.com"/>
    <s v="N-ECC"/>
    <s v="Y"/>
    <m/>
    <m/>
    <m/>
    <m/>
    <m/>
    <n v="20000"/>
    <m/>
    <m/>
    <s v="Susi DeBiasi"/>
    <s v="ECC/GCC"/>
    <s v="Tech Upgrade"/>
    <x v="3"/>
    <s v="ECC/GCC - assuming Tech upgrade and accounting for small size for engaging and testing, if the existing contract doesn't cover such reg testing."/>
  </r>
  <r>
    <x v="8"/>
    <s v="ECC Supplier"/>
    <s v="Integration"/>
    <m/>
    <x v="0"/>
    <s v="Zach Murphy &amp; Kristin Aungst"/>
    <s v="ehbillingteam@energyharbor.com _x000a_Nathan Kirk Nathan.Kirk@vistracorp.com"/>
    <s v="N-ECC"/>
    <s v="Y"/>
    <m/>
    <m/>
    <m/>
    <m/>
    <m/>
    <n v="20000"/>
    <m/>
    <m/>
    <s v="Susi DeBiasi"/>
    <s v="ECC/GCC"/>
    <s v="Tech Upgrade"/>
    <x v="3"/>
    <s v="ECC/GCC - assuming Tech upgrade and accounting for small size for engaging and testing, if the existing contract doesn't cover such reg testing."/>
  </r>
  <r>
    <x v="9"/>
    <s v="ECC Supplier"/>
    <s v="Integration"/>
    <m/>
    <x v="0"/>
    <s v="Zach Murphy &amp; Kristin Aungst"/>
    <s v="Scott Frederick sfrederick@wpsci.com"/>
    <s v="N-ECC"/>
    <s v="Y"/>
    <m/>
    <m/>
    <m/>
    <m/>
    <m/>
    <n v="20000"/>
    <m/>
    <m/>
    <s v="Susi DeBiasi"/>
    <s v="ECC/GCC"/>
    <s v="Tech Upgrade"/>
    <x v="3"/>
    <s v="ECC/GCC - assuming Tech upgrade and accounting for small size for engaging and testing, if the existing contract doesn't cover such reg testing."/>
  </r>
  <r>
    <x v="10"/>
    <s v="ECC Supplier"/>
    <s v="Integration"/>
    <m/>
    <x v="0"/>
    <s v="Zach Murphy &amp; Kristin Aungst"/>
    <s v="Scott Frederick sfrederick@wpsci.com"/>
    <s v="N-ECC"/>
    <s v="Y"/>
    <m/>
    <m/>
    <m/>
    <m/>
    <m/>
    <n v="20000"/>
    <m/>
    <m/>
    <s v="Susi DeBiasi"/>
    <s v="ECC/GCC"/>
    <s v="Tech Upgrade"/>
    <x v="3"/>
    <s v="ECC/GCC - assuming Tech upgrade and accounting for small size for engaging and testing, if the existing contract doesn't cover such reg testing."/>
  </r>
  <r>
    <x v="11"/>
    <s v="EMMAx"/>
    <s v="SAP Add-On in ECC"/>
    <m/>
    <x v="0"/>
    <s v="Jackie Knight"/>
    <s v="Hans Kardol hans.kardol@excimp.com"/>
    <s v="Y"/>
    <s v="Y"/>
    <s v="TBD"/>
    <s v="N"/>
    <m/>
    <m/>
    <m/>
    <n v="20000"/>
    <m/>
    <m/>
    <s v="Susi DeBiasi"/>
    <m/>
    <s v="Tech Upgrade"/>
    <x v="3"/>
    <s v="Compatible with S4, testing."/>
  </r>
  <r>
    <x v="12"/>
    <s v="FACTA"/>
    <s v="FACTA"/>
    <m/>
    <x v="0"/>
    <s v="Shelly Ortega/Matt Parker/Tarah Wilson"/>
    <s v="Michael Rhodes michael.rhodes@equifax.com 770-628-6664"/>
    <s v="Y"/>
    <m/>
    <m/>
    <m/>
    <m/>
    <m/>
    <m/>
    <n v="50000"/>
    <m/>
    <m/>
    <s v="Susi DeBiasi"/>
    <m/>
    <s v="Tech Upgrade"/>
    <x v="1"/>
    <m/>
  </r>
  <r>
    <x v="13"/>
    <s v="CCC Surveys"/>
    <s v="Integration"/>
    <m/>
    <x v="2"/>
    <s v="Corey Nykamp "/>
    <s v="Pam Havens - Sr Account Manager -  pamh@sqmgroup.com, 208-755-4217_x000a_Nadar Ghattas - President - nader@sqmgroup.com, 778-475-8015"/>
    <s v="Y"/>
    <s v="N"/>
    <s v="Y"/>
    <s v="unsure"/>
    <s v="unsure"/>
    <s v="Y"/>
    <s v="Y"/>
    <m/>
    <m/>
    <s v="7/11 SQM Currently use SFTP file format  that they export a raw data file to us. Its then sent back through same proess.  They don't integrate with SAP today, they also have no clients that do.  They don't believe will integrate but they are currently building APIs for their client integrations into their platform.  I asked timeline if known for the change from SFTP to API."/>
    <s v="Susi DeBiasi"/>
    <m/>
    <s v="NA"/>
    <x v="4"/>
    <m/>
  </r>
  <r>
    <x v="14"/>
    <s v="IVR is tied into AT&amp;T"/>
    <m/>
    <m/>
    <x v="2"/>
    <s v="LeRoy Eberly"/>
    <s v="See notes"/>
    <s v="N/A"/>
    <s v="N/A"/>
    <s v="N/A"/>
    <s v="N/A"/>
    <s v="N/A"/>
    <s v="N/A"/>
    <s v="N/A"/>
    <s v="N/A"/>
    <s v="N/A"/>
    <s v="LeRoy says this does not touch SAP and with Genesys Cloud it goes away"/>
    <s v="Susi DeBiasi"/>
    <m/>
    <s v="Retire"/>
    <x v="2"/>
    <m/>
  </r>
  <r>
    <x v="15"/>
    <s v="3rd Party Contact Center"/>
    <s v="NA"/>
    <m/>
    <x v="2"/>
    <s v="Marcy Stump"/>
    <s v="Sasha Elliot - Sr Account Executive, selliot@harriscollect.com, 216-401-2928_x000a_Carol Yakel - Contact Center Director - cyakel@harriscollect.com, 585-409-1207_x000a_Bryan Albertson - CIO, balbertson@harriscollect.com, 630-625-2024_x000a_Bob Mudd - bmudd@harriscollect.com_x000a_Jamie Mieleneczek - jmielneczek@harriscollect.com"/>
    <s v="Y"/>
    <m/>
    <m/>
    <m/>
    <m/>
    <m/>
    <s v="Yes"/>
    <m/>
    <m/>
    <s v="7/1/25 - Sasha added in Bob Mudd and Jamie Mielneczek "/>
    <s v="Susi DeBiasi"/>
    <m/>
    <s v="NA"/>
    <x v="4"/>
    <s v="No integrations, 3rd party CSRs call transfers, might need to be engaged to validate the process"/>
  </r>
  <r>
    <x v="16"/>
    <s v="Communication management"/>
    <s v="Integration"/>
    <m/>
    <x v="2"/>
    <s v="Sarah Carter/Russell Hanshue"/>
    <s v="Tom Page – Account Director, tpage@riverstar.com, 206-619-5711_x000a_Bob Fike – CEO, rfike@riverstar.com, 847-736-7330_x000a_Amy Sintes - asintes@riverstar.com_x000a_John Conneely - programming/digital/technical resource - jconneely@riverstar.com"/>
    <s v="Y"/>
    <m/>
    <m/>
    <m/>
    <m/>
    <m/>
    <s v="Yes"/>
    <n v="20000"/>
    <m/>
    <m/>
    <s v="Susi DeBiasi"/>
    <m/>
    <s v="Tech Upgrade"/>
    <x v="3"/>
    <s v="Riverstar to SAP CA lookup interface."/>
  </r>
  <r>
    <x v="17"/>
    <s v="Click to Chat-Texting from IVR"/>
    <s v="Integration"/>
    <m/>
    <x v="2"/>
    <s v="Frank Lubis "/>
    <s v="John McGeary with Voxai, jmgeary.com"/>
    <s v="Y"/>
    <m/>
    <m/>
    <m/>
    <m/>
    <m/>
    <s v="Yes"/>
    <n v="20000"/>
    <m/>
    <m/>
    <s v="Susi DeBiasi"/>
    <m/>
    <s v="Tech Upgrade"/>
    <x v="3"/>
    <m/>
  </r>
  <r>
    <x v="18"/>
    <s v="2WCC"/>
    <s v="2WCC"/>
    <m/>
    <x v="2"/>
    <s v="Russell Hanshue; Nicholas Sheldon for PTR/CPP"/>
    <s v="Kevin Hoekman - Sr Client Success Manager, kevin.hoekman@kubra.com, 437-229-2627"/>
    <s v="Y"/>
    <s v="Y"/>
    <s v="Y"/>
    <m/>
    <m/>
    <m/>
    <s v="Yes"/>
    <n v="75000"/>
    <m/>
    <s v="8/4 KUBRA has clients on S/4; they fully support. Best if there are no data or formatting changes, but if it does, KUBRA can make any modifications. As for file transfer, KUBRA can support API's in place of SFTP."/>
    <s v="Susi DeBiasi"/>
    <m/>
    <s v="Tech Upgrade"/>
    <x v="0"/>
    <m/>
  </r>
  <r>
    <x v="19"/>
    <s v="ASP"/>
    <s v="Integration"/>
    <m/>
    <x v="2"/>
    <s v="Stephanie Tucker"/>
    <s v="Yashodhara Neerukonda yashodhara.neerukonda@oncoursehome.com Sr. Manager – Strategic Partnerships "/>
    <s v="Y"/>
    <m/>
    <m/>
    <m/>
    <m/>
    <m/>
    <m/>
    <n v="20000"/>
    <m/>
    <s v="7/17 TAW - I sent an email to Stephanie requesting contact information for OHS"/>
    <s v="Susi DeBiasi"/>
    <m/>
    <s v="Tech Upgrade"/>
    <x v="3"/>
    <m/>
  </r>
  <r>
    <x v="20"/>
    <s v="COMET"/>
    <s v="MS Dynamics"/>
    <m/>
    <x v="1"/>
    <s v="Blaise Krol"/>
    <s v="NA"/>
    <s v="NA"/>
    <m/>
    <m/>
    <m/>
    <m/>
    <m/>
    <m/>
    <m/>
    <m/>
    <s v="Internally built and supported"/>
    <s v="Susi DeBiasi"/>
    <m/>
    <s v="NA"/>
    <x v="4"/>
    <s v="Internal"/>
  </r>
  <r>
    <x v="21"/>
    <s v="PowerMI Drive"/>
    <s v="Integration"/>
    <m/>
    <x v="1"/>
    <s v="Stacey Walkowe (Brittany Fisher on maternity leave til 1/26)"/>
    <s v="Gary Smith &lt;gary.smith@sagewell.com&gt;; Pasi Miettinen &lt;pasi@sagewell.com&gt;"/>
    <s v="Y"/>
    <s v="?"/>
    <s v="Y"/>
    <s v="TBD"/>
    <s v="TBD"/>
    <s v="TBD"/>
    <s v="TBD"/>
    <n v="20000"/>
    <m/>
    <s v="Data extracted from SAP data lake to BizTalk &amp; transferred via  SFTP file to Sagewell. Data is flowing from SAP to Sagewell AND Sagewell back to SAP…Biztalk is used to move the files from one place to another but there is a program in SAP that generate the file that Biztalk picks up and sends to Sagewell along with program that consumes data in SAP sent by Sagewell and moved by Biztalk. Sagewell indicated: they have not worked w/ S4, may need changes, and currently they don't integrate with APIs and would require signif work. Prefer to stay with SFTP."/>
    <s v="Susi DeBiasi"/>
    <m/>
    <s v="Tech Upgrade"/>
    <x v="3"/>
    <m/>
  </r>
  <r>
    <x v="22"/>
    <s v="My Meter"/>
    <s v="Integration"/>
    <m/>
    <x v="1"/>
    <s v="Miles Biel"/>
    <s v="Jamie Abrusci&lt;jabrusci@brillion.ai&gt;"/>
    <s v="NA"/>
    <s v="NA"/>
    <s v="N"/>
    <s v="N"/>
    <s v="N"/>
    <s v="N"/>
    <s v="N"/>
    <n v="0"/>
    <m/>
    <s v="Pilot and relationship with Brillion has ended."/>
    <s v="Susi DeBiasi"/>
    <m/>
    <s v="Retire"/>
    <x v="2"/>
    <m/>
  </r>
  <r>
    <x v="23"/>
    <s v="STP (Smart Thermostat)   "/>
    <s v="Integration"/>
    <m/>
    <x v="1"/>
    <s v="Nicholas Sheldon"/>
    <s v="paul.heiberger@energyhub.net;_x000a_pai@energyhub.net;"/>
    <s v="Y"/>
    <s v="?"/>
    <s v="Yes"/>
    <m/>
    <s v="Y"/>
    <s v="Y"/>
    <s v="Y"/>
    <n v="20000"/>
    <m/>
    <s v="7/21 Paul H. indicated the file transfer we do today would continue to keep it easy to test. They would be interested in exploring API calls, but that would require SOW, costs and potential app changes. They've not tested with other companies using S4."/>
    <s v="Susi DeBiasi"/>
    <m/>
    <s v="Tech Upgrade"/>
    <x v="3"/>
    <m/>
  </r>
  <r>
    <x v="24"/>
    <s v="STP (Smart Thermostat) &amp; Home Energy Analysis (HER) Reporting"/>
    <s v="Integration"/>
    <m/>
    <x v="1"/>
    <s v="Nicholas Sheldon "/>
    <m/>
    <s v="Y"/>
    <m/>
    <m/>
    <m/>
    <m/>
    <m/>
    <m/>
    <n v="20000"/>
    <m/>
    <m/>
    <s v="Susi DeBiasi"/>
    <m/>
    <s v="Tech Upgrade"/>
    <x v="3"/>
    <m/>
  </r>
  <r>
    <x v="25"/>
    <s v="Home Energy Analysis (HER) Reporting"/>
    <s v="Integration"/>
    <m/>
    <x v="1"/>
    <s v="Ted Ykimoff/Emily McGraw"/>
    <s v="ClearRESULT (they work directly w/ Opower)"/>
    <s v="Y"/>
    <m/>
    <m/>
    <m/>
    <m/>
    <m/>
    <m/>
    <n v="20000"/>
    <m/>
    <s v="Consumers Energy sends an Incremental Weekly File to CLEAResult SFTP and then Subcontractor Opower receives data from CLEAResult.  CE owns data; Pulse Energy is no longer in service. Process occurs on Sat mornings and we work through CR"/>
    <s v="Susi DeBiasi"/>
    <m/>
    <s v="Tech Upgrade"/>
    <x v="3"/>
    <m/>
  </r>
  <r>
    <x v="26"/>
    <s v="EWR Master Customer Extract"/>
    <m/>
    <m/>
    <x v="1"/>
    <s v="Nicholas Sheldon "/>
    <s v="Murthy Lanka (lakshmi.murthylanka@cgi.com)"/>
    <s v="Y"/>
    <m/>
    <m/>
    <m/>
    <m/>
    <m/>
    <m/>
    <n v="20000"/>
    <m/>
    <m/>
    <s v="Susi DeBiasi"/>
    <m/>
    <s v="Tech Upgrade"/>
    <x v="3"/>
    <m/>
  </r>
  <r>
    <x v="27"/>
    <s v="Energy Usage Dashboard"/>
    <s v="Energy Usage Dashboard"/>
    <m/>
    <x v="1"/>
    <s v="Tobin Williams/Justin Lafferty"/>
    <s v="Ruthie Townsend&lt;ruthie.townsend@uplight.com&gt;"/>
    <s v="Y"/>
    <s v="Y"/>
    <s v="Yes"/>
    <m/>
    <s v="Y"/>
    <m/>
    <m/>
    <n v="75000"/>
    <m/>
    <s v="Rae Anne Tolonen reached out initially. All contact forward should be made by Justin. Uplight had to go over an ingest integration workbook to see if there were any patterns between source systems for other company that upgraded to S4"/>
    <s v="Susi DeBiasi"/>
    <m/>
    <s v="Tech Upgrade"/>
    <x v="0"/>
    <m/>
  </r>
  <r>
    <x v="28"/>
    <s v="Customer Programs"/>
    <s v="Integration"/>
    <m/>
    <x v="1"/>
    <s v="Nicholas Sheldon (OPM Team)"/>
    <s v="amina.elghaber@honeywell.com;_x000a_ craig.henry@honeywell.com;"/>
    <s v="Y"/>
    <s v="N"/>
    <s v="Y"/>
    <s v="TBD"/>
    <s v="TBD"/>
    <s v="TBD"/>
    <s v="TBD"/>
    <n v="50000"/>
    <m/>
    <s v="Have not interfaced w/ S4 but will work with us; they are able to move to API calls if needed, but will need to build/test for those"/>
    <s v="Susi DeBiasi"/>
    <m/>
    <s v="Tech Upgrade"/>
    <x v="1"/>
    <m/>
  </r>
  <r>
    <x v="29"/>
    <s v="My Energy Analyzer"/>
    <m/>
    <m/>
    <x v="1"/>
    <s v="Carrie Harkness"/>
    <s v="Paul Wezner&lt;pwezner@powerley.com&gt;_x000a_Sergei Sobolevski&lt;ssobolevski@powerley.com&gt;"/>
    <s v="Y"/>
    <m/>
    <m/>
    <m/>
    <m/>
    <m/>
    <m/>
    <n v="20000"/>
    <m/>
    <m/>
    <s v="Susi DeBiasi"/>
    <m/>
    <s v="Tech Upgrade"/>
    <x v="3"/>
    <m/>
  </r>
  <r>
    <x v="30"/>
    <s v="PowerMI Drive; Interconnections/PowerClerk"/>
    <m/>
    <m/>
    <x v="1"/>
    <s v="Brittany Fisher"/>
    <s v="_x000a_Scott DeWees&lt;sdewees@cleanpower.com&gt;"/>
    <s v="Y"/>
    <s v="Y"/>
    <s v="Y"/>
    <m/>
    <m/>
    <s v="TBD"/>
    <m/>
    <n v="20000"/>
    <m/>
    <s v="PowerClerk API used for setting and getting data triggered from an external source to PowerClerk, and it offers PowerClerk’s Connection feature to trigger a data exchange from PowerClerk to an external endpoint of a tool or legacy system. If SAP S/4HANA offers endpoints to send data into, then PowerClerk’s Connection feature should be further explored for feasibility."/>
    <s v="Susi DeBiasi"/>
    <m/>
    <s v="Tech Upgrade"/>
    <x v="3"/>
    <s v="Looks like there is an SAP PO interface"/>
  </r>
  <r>
    <x v="31"/>
    <s v="Genesys"/>
    <s v="Genesys"/>
    <m/>
    <x v="3"/>
    <s v="Matt Parker"/>
    <s v="NA-we work thru Voxai for the Genesys platform_x000a_"/>
    <s v="NA"/>
    <m/>
    <m/>
    <m/>
    <m/>
    <m/>
    <m/>
    <m/>
    <m/>
    <m/>
    <s v="Susi DeBiasi"/>
    <m/>
    <s v="Tech Upgrade"/>
    <x v="4"/>
    <s v="NA-we work thru Voxai for the Genesys platform_x000a_"/>
  </r>
  <r>
    <x v="32"/>
    <s v="Support Vendor for Genesys Platform"/>
    <m/>
    <m/>
    <x v="3"/>
    <s v="Matt Parker"/>
    <s v="jmgeary@voxai.com"/>
    <s v="Y"/>
    <m/>
    <m/>
    <m/>
    <m/>
    <m/>
    <m/>
    <n v="500000"/>
    <m/>
    <m/>
    <s v="Susi DeBiasi"/>
    <m/>
    <s v="Tech Upgrade"/>
    <x v="5"/>
    <s v="Voxai contract for our Genesys testing. Manoj has the numbers, follow-up."/>
  </r>
  <r>
    <x v="33"/>
    <s v="GCC Supplier"/>
    <s v="Integration"/>
    <m/>
    <x v="4"/>
    <s v="Casey Wells &amp; Jesse Sutton"/>
    <m/>
    <s v="Y"/>
    <s v="Y"/>
    <s v="Y"/>
    <s v="N"/>
    <s v="N"/>
    <m/>
    <m/>
    <n v="20000"/>
    <m/>
    <m/>
    <s v="Susi DeBiasi"/>
    <s v="ECC/GCC"/>
    <s v="Tech Upgrade"/>
    <x v="3"/>
    <s v="ECC/GCC - assuming Tech upgrade and accounting for small size for engaging and testing, if the existing contract doesn't cover such reg testing."/>
  </r>
  <r>
    <x v="34"/>
    <s v="GCC Supplier"/>
    <s v="Integration"/>
    <m/>
    <x v="4"/>
    <s v="Casey Wells &amp; Jesse Sutton"/>
    <m/>
    <s v="Y"/>
    <s v="Y"/>
    <s v="Y"/>
    <s v="N"/>
    <s v="N"/>
    <m/>
    <m/>
    <n v="20000"/>
    <m/>
    <m/>
    <s v="Susi DeBiasi"/>
    <s v="ECC/GCC"/>
    <s v="Tech Upgrade"/>
    <x v="3"/>
    <s v="ECC/GCC - assuming Tech upgrade and accounting for small size for engaging and testing, if the existing contract doesn't cover such reg testing."/>
  </r>
  <r>
    <x v="35"/>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36"/>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37"/>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38"/>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39"/>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0"/>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1"/>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2"/>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3"/>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4"/>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5"/>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6"/>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7"/>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8"/>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49"/>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50"/>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51"/>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52"/>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53"/>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54"/>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55"/>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56"/>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57"/>
    <s v="GCC Supplier"/>
    <s v="Integration"/>
    <m/>
    <x v="4"/>
    <s v="Casey Wells &amp; Jesse Sutton"/>
    <s v="See GCC Vendor Tab"/>
    <s v="Y"/>
    <s v="Y"/>
    <s v="Y"/>
    <s v="N"/>
    <s v="N"/>
    <m/>
    <m/>
    <n v="20000"/>
    <m/>
    <m/>
    <s v="Susi DeBiasi"/>
    <s v="ECC/GCC"/>
    <s v="Tech Upgrade"/>
    <x v="3"/>
    <s v="ECC/GCC - assuming Tech upgrade and accounting for small size for engaging and testing, if the existing contract doesn't cover such reg testing."/>
  </r>
  <r>
    <x v="58"/>
    <s v="Return Mail"/>
    <s v="Integration"/>
    <m/>
    <x v="5"/>
    <s v="Kim Michner/Judi Helm"/>
    <s v="support@lortondata.com,  _x000a_Pamela Corbeille-Lepel - VP Sales - pcorbeille-lepel@lortondata.com, 651-203-8205"/>
    <s v="Y"/>
    <s v="Unsure"/>
    <s v="Yes"/>
    <m/>
    <m/>
    <m/>
    <s v="Yes"/>
    <n v="20000"/>
    <m/>
    <s v="this is only a support email so I did email them the question and asked to provide a business and techncial resource name and information also. 7/1 Pamela Corbeille - Lepel (Pam) responded she will be our contact person for now until we can provide more technical details.  She is unsure if their system is compatible, she feels should accomidate. We do have a custom layout for our jobs. "/>
    <s v="Susi DeBiasi"/>
    <m/>
    <s v="Tech Upgrade"/>
    <x v="3"/>
    <m/>
  </r>
  <r>
    <x v="59"/>
    <s v="Collections"/>
    <s v="Integration"/>
    <m/>
    <x v="5"/>
    <s v="Jon Clark"/>
    <s v="Kristy Kenna, kkenna@debtnext.com"/>
    <s v="Y"/>
    <s v="Unsure"/>
    <s v="Yes"/>
    <m/>
    <m/>
    <m/>
    <m/>
    <n v="50000"/>
    <m/>
    <s v="6/23 Kristy responded unsuer if they are compatible and does not see foresee any issues.  They are open to API integration.  Requests call with IT folks to discuss next steps more"/>
    <s v="Susi DeBiasi"/>
    <m/>
    <s v="Tech Upgrade"/>
    <x v="1"/>
    <m/>
  </r>
  <r>
    <x v="60"/>
    <s v="State Emergency Relief Fund (SER)"/>
    <s v="Integration"/>
    <m/>
    <x v="5"/>
    <s v="Jon Clark"/>
    <s v="Julie Mclaughlin,  mclaughlinj@michigan.gov, 517-897-3699_x000a_Veronica Maxson - maxsonv@michigan.gov_x000a_Rakesh Roshan - Technical Resource - roshanr@michigan.gov_x000a_Tao (Tom( Li - Technical Resources - lit@michigan.gov"/>
    <s v="Y"/>
    <m/>
    <m/>
    <m/>
    <m/>
    <m/>
    <m/>
    <n v="20000"/>
    <m/>
    <s v="I originally sent request to Julie as only person listed.  Julie forwarded my request to Veronica who responded 7/2 and asked to include Tom and Rajesh as their IT experts.  Will be gettibg back to me on the questions"/>
    <s v="Susi DeBiasi"/>
    <m/>
    <s v="Tech Upgrade"/>
    <x v="3"/>
    <m/>
  </r>
  <r>
    <x v="61"/>
    <s v="Customer Payments"/>
    <s v="Integration"/>
    <m/>
    <x v="5"/>
    <s v="Jon Clark"/>
    <s v="John Grubmuller - Relationship Manager_x000a_john.grubmuller@fiserv.com,_x000a_937-474-1665"/>
    <s v="Y"/>
    <m/>
    <m/>
    <m/>
    <m/>
    <m/>
    <m/>
    <n v="50000"/>
    <m/>
    <s v="6/20 Sent email - no response as of 7/3"/>
    <s v="Susi DeBiasi"/>
    <m/>
    <s v="Tech Upgrade"/>
    <x v="1"/>
    <m/>
  </r>
  <r>
    <x v="62"/>
    <s v="Customer Calling Vendor (dunning)"/>
    <s v="Integration"/>
    <m/>
    <x v="5"/>
    <s v="Jon Clark"/>
    <s v="Jackie Semon and Gina Hofferth_x000a_jsemon@hlv.com_x000a_ghofferth@hlv.com"/>
    <s v="Y"/>
    <s v="N/A"/>
    <s v="N/A"/>
    <s v="N/A"/>
    <s v="N/A"/>
    <s v="N/A"/>
    <s v="N/A"/>
    <n v="20000"/>
    <s v="N/A"/>
    <s v="6/23 Gina responded back that they only use CE Pass now and no direct connections with  SAP"/>
    <s v="Susi DeBiasi"/>
    <m/>
    <s v="Tech Upgrade"/>
    <x v="3"/>
    <m/>
  </r>
  <r>
    <x v="63"/>
    <s v="Paymentus"/>
    <s v="Paymentus"/>
    <m/>
    <x v="5"/>
    <s v="Jon Clark"/>
    <s v="Nancy Sullivan - Relatonship Manager, nsullivan@paymentus.com, 913-645-1525_x000a_Tony DeMaestri – Techincal Rrelationship Manager, tdemaestri@paymentus.com_x000a_980-337-4730_x000a_"/>
    <s v="Y"/>
    <m/>
    <m/>
    <m/>
    <m/>
    <m/>
    <s v="Yes"/>
    <n v="75000"/>
    <m/>
    <s v="7/3 Nancy responded will get back to me with the answers"/>
    <s v="Susi DeBiasi"/>
    <m/>
    <s v="Tech Upgrade"/>
    <x v="0"/>
    <m/>
  </r>
  <r>
    <x v="64"/>
    <s v="LIHEAP Payments (CA_INT_140)"/>
    <s v="Integration"/>
    <m/>
    <x v="5"/>
    <s v="Jon Clark"/>
    <s v="Scott B Darragh (Treasury) darraghs@michigan.gov, 517-881-8557 orShane Reed (TREASURY), reeds17@michigan.gov_x000a_Kevin Bonds - bondsk1@michigan.gov_x000a_Joshua Horn - hornj1@michigan.gov_x000a_Zachary Corkins - corkinsz@michigan.gov"/>
    <s v="Y"/>
    <m/>
    <m/>
    <m/>
    <m/>
    <m/>
    <m/>
    <n v="20000"/>
    <m/>
    <s v="7/2 Scott responded and sent to Kevin Bond, Joshua Horn, Zachary Corkins to help with the questions"/>
    <s v="Susi DeBiasi"/>
    <m/>
    <s v="Tech Upgrade"/>
    <x v="3"/>
    <m/>
  </r>
  <r>
    <x v="65"/>
    <s v="Customer Payments (CA_INT_240)"/>
    <s v="Integration"/>
    <m/>
    <x v="5"/>
    <s v="Jon Clark"/>
    <s v="Christine Beatty,  cbeatty@thawfund.org, 313-418-1686"/>
    <s v="Y"/>
    <m/>
    <m/>
    <m/>
    <m/>
    <m/>
    <m/>
    <n v="20000"/>
    <m/>
    <m/>
    <m/>
    <m/>
    <s v="Tech Upgrade"/>
    <x v="3"/>
    <m/>
  </r>
  <r>
    <x v="66"/>
    <s v="Workiva"/>
    <s v="Workiva"/>
    <m/>
    <x v="6"/>
    <s v="Angie Nobel"/>
    <m/>
    <s v="N/A"/>
    <s v="N/A"/>
    <s v="N"/>
    <s v="N"/>
    <s v="N"/>
    <s v="N/A"/>
    <s v="N"/>
    <m/>
    <m/>
    <m/>
    <s v="Jeff DeBiasi"/>
    <m/>
    <s v="NA"/>
    <x v="4"/>
    <s v="No integrations with SAP currently, process."/>
  </r>
  <r>
    <x v="67"/>
    <s v="Account Reconciliation"/>
    <s v="Blackline"/>
    <m/>
    <x v="6"/>
    <s v="Anita Blaj"/>
    <m/>
    <s v="Y"/>
    <m/>
    <m/>
    <m/>
    <m/>
    <m/>
    <m/>
    <n v="20000"/>
    <m/>
    <m/>
    <s v="Jeff DeBiasi"/>
    <m/>
    <s v="Tech Upgrade"/>
    <x v="3"/>
    <m/>
  </r>
  <r>
    <x v="68"/>
    <s v="FlexiCapture"/>
    <s v="FlexiCapture"/>
    <m/>
    <x v="6"/>
    <s v="Brian VanBlarcum"/>
    <m/>
    <s v="N/A"/>
    <s v="N/A"/>
    <s v="N"/>
    <s v="N"/>
    <s v="N"/>
    <s v="N/A"/>
    <s v="N"/>
    <n v="0"/>
    <m/>
    <m/>
    <s v="Jeff DeBiasi"/>
    <m/>
    <s v="NA"/>
    <x v="4"/>
    <s v="No integrations with SAP, PowerPlan"/>
  </r>
  <r>
    <x v="69"/>
    <s v="ASI"/>
    <m/>
    <m/>
    <x v="6"/>
    <s v="Cheri Clark"/>
    <m/>
    <s v="N"/>
    <s v="N/A"/>
    <s v="Y"/>
    <s v="N"/>
    <s v="Y"/>
    <s v="N"/>
    <m/>
    <n v="50000"/>
    <m/>
    <m/>
    <s v="Jeff DeBiasi"/>
    <m/>
    <s v="Tech Upgrade"/>
    <x v="1"/>
    <s v="Adapter/RPA "/>
  </r>
  <r>
    <x v="70"/>
    <m/>
    <m/>
    <m/>
    <x v="6"/>
    <s v="Brian VanBlarcum"/>
    <m/>
    <s v="N/A"/>
    <m/>
    <s v="N"/>
    <s v="N"/>
    <s v="N"/>
    <m/>
    <m/>
    <n v="0"/>
    <m/>
    <m/>
    <s v="Jeff DeBiasi"/>
    <m/>
    <s v="NA"/>
    <x v="4"/>
    <s v="Used in Tax, no integrations"/>
  </r>
  <r>
    <x v="71"/>
    <s v="Clarity"/>
    <s v="Clarity"/>
    <m/>
    <x v="6"/>
    <s v="Craig Kelling"/>
    <m/>
    <s v="N"/>
    <m/>
    <m/>
    <s v="NA"/>
    <m/>
    <m/>
    <m/>
    <n v="100000"/>
    <m/>
    <s v="Follow-up mtg scheduled with IT/BP&amp;A to discuss Clarity future"/>
    <s v="Jeff DeBiasi"/>
    <m/>
    <s v="Re-write because of S4"/>
    <x v="6"/>
    <s v="3 interfaces, UI changes, good bit of changes"/>
  </r>
  <r>
    <x v="72"/>
    <s v="Alteryx"/>
    <m/>
    <m/>
    <x v="6"/>
    <s v="Dennis Mickel"/>
    <m/>
    <s v="N/A"/>
    <s v="N/A"/>
    <s v="N"/>
    <s v="N"/>
    <s v="Y"/>
    <s v="N"/>
    <s v="N"/>
    <m/>
    <m/>
    <s v="Changes needed will be made by CE resources._x000a_Internal costs - 25,000$"/>
    <s v="Jeff DeBiasi"/>
    <m/>
    <s v="NA"/>
    <x v="4"/>
    <s v="CE Internal, no Vendor impacts."/>
  </r>
  <r>
    <x v="73"/>
    <s v="UI Budget &amp; Planning"/>
    <s v="UI Budget &amp; Planning"/>
    <m/>
    <x v="6"/>
    <s v="Dennis Mickel"/>
    <m/>
    <s v="N"/>
    <s v="N"/>
    <s v="Y"/>
    <s v="N"/>
    <s v="Y"/>
    <s v="Y"/>
    <s v="Y"/>
    <n v="750000"/>
    <m/>
    <s v="If we stay with UI Planning &amp; Forecasting"/>
    <s v="Jeff DeBiasi"/>
    <m/>
    <s v="Re-write"/>
    <x v="7"/>
    <s v="Big ticket item"/>
  </r>
  <r>
    <x v="74"/>
    <s v="BOA"/>
    <s v="N/A"/>
    <m/>
    <x v="6"/>
    <s v="Heather Wilson"/>
    <m/>
    <s v="Y"/>
    <s v="N/A"/>
    <s v="Y"/>
    <s v="NA"/>
    <s v="N"/>
    <s v="Y"/>
    <s v="N"/>
    <n v="20000"/>
    <m/>
    <m/>
    <s v="Jeff DeBiasi"/>
    <m/>
    <s v="Tech Upgrade"/>
    <x v="3"/>
    <m/>
  </r>
  <r>
    <x v="75"/>
    <s v="Citibank"/>
    <s v="N/A"/>
    <m/>
    <x v="6"/>
    <s v="Heather Wilson"/>
    <m/>
    <s v="Y"/>
    <s v="N/A"/>
    <s v="Y"/>
    <s v="NA"/>
    <s v="N"/>
    <s v="TBD"/>
    <s v="N"/>
    <n v="20000"/>
    <m/>
    <m/>
    <s v="Jeff DeBiasi"/>
    <m/>
    <s v="Tech Upgrade"/>
    <x v="3"/>
    <m/>
  </r>
  <r>
    <x v="76"/>
    <s v="Comerica"/>
    <s v="N/A"/>
    <m/>
    <x v="6"/>
    <s v="Heather Wilson"/>
    <m/>
    <s v="Y"/>
    <s v="N/A"/>
    <s v="Y"/>
    <s v="NA"/>
    <s v="N"/>
    <s v="TBD"/>
    <s v="N"/>
    <n v="20000"/>
    <m/>
    <m/>
    <s v="Jeff DeBiasi"/>
    <m/>
    <s v="Tech Upgrade"/>
    <x v="3"/>
    <m/>
  </r>
  <r>
    <x v="77"/>
    <s v="FifthThird"/>
    <s v="N/A"/>
    <m/>
    <x v="6"/>
    <s v="Heather Wilson"/>
    <m/>
    <s v="Y"/>
    <s v="N/A"/>
    <s v="Y"/>
    <s v="NA"/>
    <s v="N"/>
    <s v="TBD"/>
    <s v="N"/>
    <n v="20000"/>
    <m/>
    <m/>
    <s v="Jeff DeBiasi"/>
    <m/>
    <s v="Tech Upgrade"/>
    <x v="3"/>
    <m/>
  </r>
  <r>
    <x v="78"/>
    <m/>
    <m/>
    <m/>
    <x v="6"/>
    <s v="Heather Wilson"/>
    <m/>
    <s v="Y"/>
    <s v="N/A"/>
    <s v="Y"/>
    <s v="NA"/>
    <s v="N"/>
    <s v="TBD"/>
    <s v="N"/>
    <n v="20000"/>
    <m/>
    <m/>
    <s v="Jeff DeBiasi"/>
    <m/>
    <s v="Tech Upgrade"/>
    <x v="3"/>
    <m/>
  </r>
  <r>
    <x v="79"/>
    <s v="Trovata"/>
    <m/>
    <m/>
    <x v="6"/>
    <s v="Heather Wilson"/>
    <m/>
    <s v="N"/>
    <s v="N/A"/>
    <m/>
    <s v="NA"/>
    <m/>
    <m/>
    <m/>
    <m/>
    <m/>
    <m/>
    <s v="Jeff DeBiasi"/>
    <m/>
    <s v="NA"/>
    <x v="4"/>
    <s v="No interfaces, might not be needed."/>
  </r>
  <r>
    <x v="80"/>
    <s v="Calero"/>
    <s v="Calero"/>
    <m/>
    <x v="6"/>
    <s v="Josh Frick"/>
    <m/>
    <s v="N"/>
    <s v="N/A"/>
    <s v="Y"/>
    <s v="N"/>
    <s v="N"/>
    <s v="Y"/>
    <m/>
    <n v="50000"/>
    <m/>
    <m/>
    <s v="Jeff DeBiasi"/>
    <m/>
    <s v="Tech Upgrade"/>
    <x v="1"/>
    <s v="changes from our S4 data model"/>
  </r>
  <r>
    <x v="81"/>
    <s v="GetThere"/>
    <s v="GetThere"/>
    <m/>
    <x v="6"/>
    <s v="Lynn Tosi"/>
    <m/>
    <s v="N/A"/>
    <s v="N/A"/>
    <s v="Y"/>
    <s v="N"/>
    <s v="N"/>
    <s v="Y"/>
    <m/>
    <m/>
    <m/>
    <m/>
    <s v="Jeff DeBiasi"/>
    <m/>
    <s v="NA"/>
    <x v="4"/>
    <s v="Concur will be replacing it."/>
  </r>
  <r>
    <x v="73"/>
    <s v="UI Planner Forecasing"/>
    <s v="UI Planner"/>
    <m/>
    <x v="6"/>
    <s v="Marc Bleckman"/>
    <m/>
    <s v="N"/>
    <s v="N"/>
    <s v="Y"/>
    <s v="N"/>
    <s v="Y"/>
    <s v="Y"/>
    <s v="Y"/>
    <m/>
    <m/>
    <s v="UI Planner Forecasting is currently undergoing an upgrade to the SaaS version."/>
    <s v="Jeff DeBiasi"/>
    <m/>
    <s v="NA"/>
    <x v="4"/>
    <s v="Coverd in above UI estimates"/>
  </r>
  <r>
    <x v="82"/>
    <m/>
    <m/>
    <m/>
    <x v="6"/>
    <s v="Matt Ruthig"/>
    <m/>
    <s v="N"/>
    <m/>
    <m/>
    <m/>
    <m/>
    <m/>
    <m/>
    <m/>
    <m/>
    <m/>
    <s v="Jeff DeBiasi"/>
    <m/>
    <s v="NA"/>
    <x v="4"/>
    <s v="Mostly Intenal work, would not need ServiceNow vendor support, only if there are any issues while testing."/>
  </r>
  <r>
    <x v="83"/>
    <s v="Cideon"/>
    <s v="Cideon"/>
    <m/>
    <x v="6"/>
    <s v="Susie West"/>
    <m/>
    <s v="N"/>
    <s v="N"/>
    <s v="Y"/>
    <s v="Y"/>
    <s v="N"/>
    <s v="N"/>
    <m/>
    <n v="75000"/>
    <m/>
    <s v="May move this to ESRI, Office Space Management"/>
    <s v="Jeff DeBiasi"/>
    <m/>
    <s v="Tech Upgrade"/>
    <x v="0"/>
    <s v="Would end up as Medium if we decide to upgrade it."/>
  </r>
  <r>
    <x v="84"/>
    <s v="OneStream"/>
    <s v="OneStream"/>
    <m/>
    <x v="6"/>
    <s v="Susie West"/>
    <m/>
    <s v="Y"/>
    <s v="N"/>
    <s v="Y"/>
    <s v="N"/>
    <s v="Y"/>
    <s v="Y"/>
    <s v="Y"/>
    <n v="100000"/>
    <m/>
    <s v="May not need KPMG"/>
    <s v="Jeff DeBiasi"/>
    <m/>
    <s v="Re-write"/>
    <x v="6"/>
    <s v="Learnings from KPMG workshops, need data model changes."/>
  </r>
  <r>
    <x v="85"/>
    <s v="VIM/IES"/>
    <s v="VIM"/>
    <m/>
    <x v="6"/>
    <s v="Susie West"/>
    <m/>
    <s v="N"/>
    <s v="N"/>
    <s v="Y"/>
    <s v="Y"/>
    <m/>
    <s v="Y"/>
    <m/>
    <n v="75000"/>
    <m/>
    <m/>
    <s v="Jeff DeBiasi"/>
    <m/>
    <s v="Tech Upgrade"/>
    <x v="0"/>
    <s v="Part existing contract, part new changes and new costs"/>
  </r>
  <r>
    <x v="86"/>
    <s v="Powerplan"/>
    <s v="Powerplan"/>
    <m/>
    <x v="6"/>
    <s v="Susie West"/>
    <m/>
    <s v="N"/>
    <s v="Y"/>
    <s v="Y"/>
    <s v="N"/>
    <s v="Y"/>
    <s v="Y"/>
    <s v="Y"/>
    <n v="750000"/>
    <m/>
    <s v="Not contacting Powerplan yet.  If we keep Powerplan only temporarily, just do the bare minimum to get it working.  If we will keep longer term, need to use their S/4 adapter"/>
    <s v="Jeff DeBiasi"/>
    <m/>
    <s v="Re-write"/>
    <x v="7"/>
    <s v="Lot of changes with S4 "/>
  </r>
  <r>
    <x v="87"/>
    <s v="Onapsis Security Platform"/>
    <s v="Onapsis Security Platform"/>
    <m/>
    <x v="7"/>
    <s v="Rizwan  Latif"/>
    <m/>
    <m/>
    <m/>
    <m/>
    <m/>
    <m/>
    <m/>
    <m/>
    <n v="75000"/>
    <m/>
    <m/>
    <s v="Sudip Saha"/>
    <m/>
    <s v="Tech Upgrade"/>
    <x v="0"/>
    <m/>
  </r>
  <r>
    <x v="88"/>
    <s v="Biztalk "/>
    <s v="Biztalk "/>
    <m/>
    <x v="7"/>
    <s v="Dennis Kailing"/>
    <m/>
    <m/>
    <m/>
    <m/>
    <m/>
    <m/>
    <m/>
    <m/>
    <m/>
    <m/>
    <m/>
    <s v="Sudip Saha"/>
    <m/>
    <s v="NA"/>
    <x v="4"/>
    <s v="EDI should be done, would not need MSFT engagement"/>
  </r>
  <r>
    <x v="89"/>
    <s v="FirstLogic Ace"/>
    <s v="FirstLogic Ace"/>
    <m/>
    <x v="7"/>
    <s v="Dennis Kailing"/>
    <m/>
    <m/>
    <m/>
    <m/>
    <m/>
    <m/>
    <m/>
    <m/>
    <n v="20000"/>
    <m/>
    <m/>
    <s v="Sudip Saha"/>
    <m/>
    <s v="Tech Upgrade"/>
    <x v="3"/>
    <m/>
  </r>
  <r>
    <x v="90"/>
    <s v="SAP Data Refresh - Attunity Gold Client"/>
    <s v="SAP Data Refresh - Attunity Gold Client"/>
    <m/>
    <x v="7"/>
    <s v="Rizwan  Latif"/>
    <m/>
    <m/>
    <m/>
    <m/>
    <m/>
    <m/>
    <m/>
    <m/>
    <n v="75000"/>
    <m/>
    <m/>
    <s v="Sudip Saha"/>
    <m/>
    <s v="Tech Upgrade"/>
    <x v="0"/>
    <m/>
  </r>
  <r>
    <x v="91"/>
    <s v="ISIS"/>
    <s v="ISIS"/>
    <m/>
    <x v="7"/>
    <s v="Dennis Kailing"/>
    <m/>
    <m/>
    <m/>
    <m/>
    <m/>
    <m/>
    <m/>
    <m/>
    <n v="50000"/>
    <m/>
    <m/>
    <s v="Sudip Saha"/>
    <m/>
    <s v="Tech Upgrade"/>
    <x v="1"/>
    <m/>
  </r>
  <r>
    <x v="92"/>
    <s v="SAP Data Refresh - Libelle System Copy"/>
    <s v="SAP Data Refresh - Libelle System Copy"/>
    <m/>
    <x v="7"/>
    <s v="Rizwan  Latif"/>
    <m/>
    <m/>
    <m/>
    <m/>
    <m/>
    <m/>
    <m/>
    <m/>
    <m/>
    <m/>
    <m/>
    <s v="Sudip Saha"/>
    <m/>
    <s v="NA"/>
    <x v="2"/>
    <s v="Rise will cover this, so Retire."/>
  </r>
  <r>
    <x v="93"/>
    <s v="Redwood Job Scheduling"/>
    <s v="Redwood Job Scheduling"/>
    <m/>
    <x v="7"/>
    <s v="Rizwan  Latif"/>
    <m/>
    <m/>
    <m/>
    <m/>
    <m/>
    <m/>
    <m/>
    <m/>
    <n v="75000"/>
    <m/>
    <m/>
    <s v="Sudip Saha"/>
    <m/>
    <s v="Tech Upgrade"/>
    <x v="0"/>
    <m/>
  </r>
  <r>
    <x v="94"/>
    <s v="JDMS"/>
    <s v="JDMS"/>
    <m/>
    <x v="8"/>
    <s v="Amie Ostrander"/>
    <m/>
    <m/>
    <s v="Y"/>
    <m/>
    <m/>
    <m/>
    <m/>
    <m/>
    <n v="0"/>
    <n v="0.8"/>
    <m/>
    <s v="REBECCA L. HOUGH"/>
    <m/>
    <m/>
    <x v="4"/>
    <s v="Job Desc Made Simple - SF Add On from Horizons"/>
  </r>
  <r>
    <x v="95"/>
    <s v="LMS"/>
    <s v="LMS"/>
    <m/>
    <x v="8"/>
    <s v="Amie Ostrander"/>
    <m/>
    <m/>
    <s v="Y"/>
    <s v="Y"/>
    <m/>
    <m/>
    <s v="Y"/>
    <m/>
    <n v="0"/>
    <n v="0.8"/>
    <s v="Included in SI Scope. Other Contact: Michael Wright"/>
    <s v="REBECCA L. HOUGH"/>
    <m/>
    <m/>
    <x v="4"/>
    <s v="Included in SI Scope."/>
  </r>
  <r>
    <x v="95"/>
    <s v="Recruiting"/>
    <s v="Recruiting"/>
    <m/>
    <x v="8"/>
    <s v="Amie Ostrander"/>
    <m/>
    <m/>
    <s v="Y"/>
    <s v="Y"/>
    <m/>
    <m/>
    <s v="Y"/>
    <m/>
    <n v="0"/>
    <n v="0.8"/>
    <s v="Included in SI Scope. Other Contact: LaShanna Jackson"/>
    <s v="REBECCA L. HOUGH"/>
    <m/>
    <m/>
    <x v="4"/>
    <s v="Included in SI Scope."/>
  </r>
  <r>
    <x v="96"/>
    <s v="Goals &amp; Performance"/>
    <s v="Goals &amp; Performance"/>
    <m/>
    <x v="8"/>
    <s v="Amie Ostrander"/>
    <m/>
    <m/>
    <s v="Y"/>
    <s v="Y"/>
    <m/>
    <m/>
    <s v="Y"/>
    <m/>
    <n v="0"/>
    <n v="0.8"/>
    <s v="Included in SI Scope. Other Contact: Kelly McKinstry"/>
    <s v="REBECCA L. HOUGH"/>
    <m/>
    <m/>
    <x v="4"/>
    <s v="Included in SI Scope."/>
  </r>
  <r>
    <x v="96"/>
    <s v="Talent Management"/>
    <s v="Talent Management"/>
    <m/>
    <x v="8"/>
    <s v="Amie Ostrander"/>
    <m/>
    <m/>
    <s v="Y"/>
    <s v="Y"/>
    <m/>
    <m/>
    <s v="Y"/>
    <m/>
    <n v="0"/>
    <n v="0.8"/>
    <s v="Included in SI Scope. Other Contact: Kelly McKinstry"/>
    <s v="REBECCA L. HOUGH"/>
    <m/>
    <m/>
    <x v="4"/>
    <s v="Included in SI Scope."/>
  </r>
  <r>
    <x v="96"/>
    <s v="Onboarding"/>
    <s v="Onboarding"/>
    <m/>
    <x v="8"/>
    <s v="Amie Ostrander"/>
    <m/>
    <m/>
    <s v="Y"/>
    <s v="Y"/>
    <m/>
    <m/>
    <s v="Y"/>
    <m/>
    <n v="0"/>
    <n v="0.8"/>
    <s v="Included in SI Scope. Other Contact: LaShanna Jackson"/>
    <s v="REBECCA L. HOUGH"/>
    <m/>
    <m/>
    <x v="4"/>
    <s v="Included in SI Scope."/>
  </r>
  <r>
    <x v="97"/>
    <s v="Service Now"/>
    <s v="Service Now HR"/>
    <m/>
    <x v="8"/>
    <s v="Heather Krieger"/>
    <m/>
    <m/>
    <m/>
    <s v="Y"/>
    <m/>
    <m/>
    <s v="Y"/>
    <m/>
    <n v="250000"/>
    <n v="0.75"/>
    <s v="Estimate from Pam for if Consumers couldn't do the work. Other Contact: Pam Long"/>
    <s v="REBECCA L. HOUGH"/>
    <m/>
    <s v="Re-write with Std S4"/>
    <x v="5"/>
    <s v="Re-write with ServiceNow S4 APIs? Can we do it internally? Pulling out the funcitonality from ServiceNow HR to S/4 EC, but also setting up EC sync-up with ServiceNow HR, for Emp Demographics, Org data etc."/>
  </r>
  <r>
    <x v="98"/>
    <s v="Absence Plus"/>
    <s v="Absence Plus"/>
    <m/>
    <x v="8"/>
    <s v="Peter Miller"/>
    <m/>
    <m/>
    <m/>
    <s v="Y"/>
    <m/>
    <m/>
    <s v="Y"/>
    <m/>
    <n v="20000"/>
    <n v="0.5"/>
    <s v="Business Partner: Rebecca Parris"/>
    <s v="REBECCA L. HOUGH"/>
    <m/>
    <s v="Tech Upgrade"/>
    <x v="3"/>
    <m/>
  </r>
  <r>
    <x v="99"/>
    <s v="Aspire"/>
    <s v="Aspire"/>
    <m/>
    <x v="8"/>
    <s v="Peter Miller"/>
    <m/>
    <m/>
    <s v="Y"/>
    <m/>
    <m/>
    <m/>
    <s v="Y"/>
    <m/>
    <n v="20000"/>
    <n v="0.9"/>
    <s v="Business Partner: Krista Jared"/>
    <s v="REBECCA L. HOUGH"/>
    <m/>
    <s v="Tech Upgrade"/>
    <x v="3"/>
    <s v="Bayforce/Ceredian, tcode on-prem"/>
  </r>
  <r>
    <x v="100"/>
    <s v="BSI "/>
    <s v="BSI "/>
    <m/>
    <x v="8"/>
    <s v="Peter Miller"/>
    <m/>
    <m/>
    <s v="Y"/>
    <s v="Y"/>
    <m/>
    <s v="Y"/>
    <m/>
    <m/>
    <n v="20000"/>
    <n v="0.8"/>
    <s v="Business Partner: Krista Jared"/>
    <s v="REBECCA L. HOUGH"/>
    <m/>
    <s v="Tech Upgrade"/>
    <x v="3"/>
    <m/>
  </r>
  <r>
    <x v="101"/>
    <s v="CompOne"/>
    <s v="CompOne "/>
    <m/>
    <x v="8"/>
    <s v="Peter Miller"/>
    <m/>
    <m/>
    <m/>
    <s v="Y"/>
    <m/>
    <m/>
    <s v="Y"/>
    <m/>
    <n v="20000"/>
    <n v="0.5"/>
    <s v="Business Partner: Rebecca Parris"/>
    <s v="REBECCA L. HOUGH"/>
    <m/>
    <s v="Tech Upgrade"/>
    <x v="3"/>
    <m/>
  </r>
  <r>
    <x v="102"/>
    <s v="Dayforce/Ceridian"/>
    <s v="Dayforce/Ceridian"/>
    <m/>
    <x v="8"/>
    <s v="Peter Miller"/>
    <m/>
    <m/>
    <s v="Y"/>
    <s v="Y"/>
    <m/>
    <s v="Y"/>
    <s v="Y"/>
    <m/>
    <n v="20000"/>
    <n v="0.5"/>
    <s v="Business Partner: Krista Jared"/>
    <s v="REBECCA L. HOUGH"/>
    <m/>
    <s v="Tech Upgrade"/>
    <x v="3"/>
    <m/>
  </r>
  <r>
    <x v="103"/>
    <s v="Devonway"/>
    <s v="Devonway"/>
    <m/>
    <x v="8"/>
    <s v="Peter Miller"/>
    <m/>
    <m/>
    <m/>
    <s v="Y"/>
    <m/>
    <m/>
    <s v="Y"/>
    <m/>
    <n v="20000"/>
    <n v="0.5"/>
    <s v="Business Partner: Rocky May"/>
    <s v="REBECCA L. HOUGH"/>
    <m/>
    <s v="Tech Upgrade"/>
    <x v="3"/>
    <m/>
  </r>
  <r>
    <x v="104"/>
    <s v="Equinity"/>
    <s v="Equinity"/>
    <m/>
    <x v="8"/>
    <s v="Peter Miller"/>
    <m/>
    <m/>
    <m/>
    <s v="Y"/>
    <m/>
    <m/>
    <s v="Y"/>
    <m/>
    <n v="20000"/>
    <n v="0.5"/>
    <s v="Business Partner: Amy Conrad"/>
    <s v="REBECCA L. HOUGH"/>
    <m/>
    <s v="Tech Upgrade"/>
    <x v="3"/>
    <m/>
  </r>
  <r>
    <x v="105"/>
    <s v="Fidelity"/>
    <s v="Fidelity"/>
    <m/>
    <x v="8"/>
    <s v="Peter Miller"/>
    <m/>
    <m/>
    <s v="Y"/>
    <s v="Y"/>
    <m/>
    <m/>
    <s v="Y"/>
    <s v="?"/>
    <n v="75000"/>
    <n v="0.75"/>
    <s v="7 file based integrations.  May be moving to API's but unknown cost, scope, timeing at this time. Business Partner: Linda Desorcie"/>
    <s v="REBECCA L. HOUGH"/>
    <m/>
    <s v="Tech Upgrade &amp; Re-write"/>
    <x v="0"/>
    <s v="Fidelity needs to standup an environment, the 7 integrations will be split between R1 and R2"/>
  </r>
  <r>
    <x v="106"/>
    <s v="FitPro"/>
    <s v="FitPro"/>
    <m/>
    <x v="8"/>
    <s v="Peter Miller"/>
    <m/>
    <m/>
    <m/>
    <s v="Y"/>
    <m/>
    <m/>
    <s v="Y"/>
    <m/>
    <n v="0"/>
    <n v="0.5"/>
    <s v="Other Contact: Amy Cummings"/>
    <s v="REBECCA L. HOUGH"/>
    <m/>
    <s v="Tech Upgrade &amp; Re-write"/>
    <x v="4"/>
    <s v="Qual for Respirator, LMS, SAP, Henry Ford. Internal"/>
  </r>
  <r>
    <x v="107"/>
    <s v="Live Well 365"/>
    <s v="Live Well 365"/>
    <m/>
    <x v="8"/>
    <s v="Peter Miller"/>
    <m/>
    <m/>
    <m/>
    <s v="Y"/>
    <m/>
    <m/>
    <s v="Y"/>
    <m/>
    <n v="0"/>
    <n v="0.5"/>
    <s v="Business Partner: Heather Guilbault"/>
    <s v="REBECCA L. HOUGH"/>
    <m/>
    <s v="Tech Upgrade &amp; Re-write"/>
    <x v="4"/>
    <s v="Leverages Fidelity files, covered in Fidility estimates"/>
  </r>
  <r>
    <x v="108"/>
    <s v="Magnit"/>
    <s v="Magnit"/>
    <m/>
    <x v="8"/>
    <s v="Peter Miller"/>
    <m/>
    <m/>
    <m/>
    <m/>
    <m/>
    <m/>
    <m/>
    <m/>
    <n v="20000"/>
    <n v="0.5"/>
    <s v="Business Partner: Stefanie Pritchard"/>
    <s v="REBECCA L. HOUGH"/>
    <m/>
    <s v="Tech Upgrade"/>
    <x v="3"/>
    <m/>
  </r>
  <r>
    <x v="109"/>
    <s v="Market Pay"/>
    <s v="Market Pay"/>
    <m/>
    <x v="8"/>
    <s v="Peter Miller"/>
    <m/>
    <m/>
    <m/>
    <s v="Y"/>
    <m/>
    <m/>
    <s v="Y"/>
    <m/>
    <n v="20000"/>
    <n v="0.5"/>
    <s v="Business Partner: Amy Conrad"/>
    <s v="REBECCA L. HOUGH"/>
    <m/>
    <s v="Tech Upgrade"/>
    <x v="3"/>
    <s v="Compensation benchmarking, getting updated currently."/>
  </r>
  <r>
    <x v="110"/>
    <s v="Qualtrics"/>
    <s v="Qualtrics"/>
    <m/>
    <x v="8"/>
    <s v="Peter Miller"/>
    <m/>
    <m/>
    <m/>
    <s v="Y"/>
    <m/>
    <m/>
    <s v="Y"/>
    <m/>
    <n v="20000"/>
    <n v="0.5"/>
    <s v="Business Partner: Caitlin Tetrick"/>
    <s v="REBECCA L. HOUGH"/>
    <m/>
    <s v="Tech Upgrade"/>
    <x v="3"/>
    <s v="Demographic load"/>
  </r>
  <r>
    <x v="111"/>
    <s v="Quorum"/>
    <s v="Quorum"/>
    <m/>
    <x v="8"/>
    <s v="Peter Miller"/>
    <m/>
    <m/>
    <m/>
    <s v="Y"/>
    <m/>
    <m/>
    <s v="Y"/>
    <m/>
    <n v="20000"/>
    <n v="0.5"/>
    <s v="Business Partner: Hillary Kipp"/>
    <s v="REBECCA L. HOUGH"/>
    <m/>
    <s v="Tech Upgrade"/>
    <x v="3"/>
    <m/>
  </r>
  <r>
    <x v="112"/>
    <s v="Saba Org Planning"/>
    <s v="Saba Org Planning"/>
    <m/>
    <x v="8"/>
    <s v="Peter Miller"/>
    <m/>
    <m/>
    <m/>
    <s v="Y"/>
    <m/>
    <m/>
    <s v="Y"/>
    <m/>
    <n v="0"/>
    <n v="0.8"/>
    <s v="Other Contact: Amy Cummings"/>
    <s v="REBECCA L. HOUGH"/>
    <m/>
    <s v="NA"/>
    <x v="2"/>
    <s v="Will be retiring, SF will be used for Org Planning"/>
  </r>
  <r>
    <x v="113"/>
    <s v="SAP Callidus/BCC"/>
    <s v="SAP Callidus/BCC"/>
    <m/>
    <x v="8"/>
    <s v="Peter Miller"/>
    <m/>
    <m/>
    <m/>
    <s v="Y"/>
    <m/>
    <m/>
    <s v="Y"/>
    <m/>
    <n v="50000"/>
    <n v="0.5"/>
    <s v="Business Partner: Amy Conrad"/>
    <s v="REBECCA L. HOUGH"/>
    <m/>
    <s v="Tech Upgrade"/>
    <x v="1"/>
    <m/>
  </r>
  <r>
    <x v="114"/>
    <s v="Seniority"/>
    <s v="Seniority"/>
    <m/>
    <x v="8"/>
    <s v="Peter Miller"/>
    <m/>
    <m/>
    <m/>
    <s v="Y"/>
    <m/>
    <m/>
    <s v="Y"/>
    <s v="Y"/>
    <n v="20000"/>
    <n v="0.5"/>
    <s v="Business Partner: Rachel Babale; Other Contact: Brindha Thavamani"/>
    <s v="REBECCA L. HOUGH"/>
    <m/>
    <s v="Tech Upgrade"/>
    <x v="3"/>
    <m/>
  </r>
  <r>
    <x v="114"/>
    <s v="Grievance"/>
    <s v="Grievance"/>
    <m/>
    <x v="8"/>
    <s v="Peter Miller"/>
    <m/>
    <m/>
    <m/>
    <s v="Y"/>
    <m/>
    <m/>
    <s v="Y"/>
    <s v="Y"/>
    <n v="20000"/>
    <n v="0.5"/>
    <s v="Business Partner: Rachel Babale; Other Contact: Brindha Thavamani"/>
    <s v="REBECCA L. HOUGH"/>
    <m/>
    <s v="Tech Upgrade"/>
    <x v="3"/>
    <m/>
  </r>
  <r>
    <x v="114"/>
    <s v="Job Bidding"/>
    <s v="Job Bidding"/>
    <m/>
    <x v="8"/>
    <s v="Peter Miller"/>
    <m/>
    <m/>
    <m/>
    <s v="Y"/>
    <m/>
    <m/>
    <s v="Y"/>
    <s v="Y"/>
    <n v="20000"/>
    <n v="0.5"/>
    <s v="Business Partner: Rachel Babale; Other Contact: Brindha Thavamani"/>
    <s v="REBECCA L. HOUGH"/>
    <m/>
    <s v="Tech Upgrade"/>
    <x v="3"/>
    <m/>
  </r>
  <r>
    <x v="115"/>
    <s v="TaxPort"/>
    <s v="TaxPort"/>
    <m/>
    <x v="8"/>
    <s v="Peter Miller"/>
    <m/>
    <m/>
    <m/>
    <s v="Y"/>
    <m/>
    <m/>
    <s v="Y"/>
    <m/>
    <n v="20000"/>
    <n v="0.5"/>
    <s v="Business Partner: Heather Guilbault"/>
    <s v="REBECCA L. HOUGH"/>
    <m/>
    <s v="Tech Upgrade"/>
    <x v="3"/>
    <m/>
  </r>
  <r>
    <x v="116"/>
    <s v="Workshop"/>
    <s v="Workshop"/>
    <m/>
    <x v="8"/>
    <s v="Peter Miller"/>
    <m/>
    <m/>
    <m/>
    <s v="Y"/>
    <m/>
    <m/>
    <s v="Y"/>
    <m/>
    <n v="20000"/>
    <n v="0.5"/>
    <s v="Business Partner: Suzanne McCloskey"/>
    <s v="REBECCA L. HOUGH"/>
    <m/>
    <s v="Tech Upgrade"/>
    <x v="3"/>
    <m/>
  </r>
  <r>
    <x v="117"/>
    <s v="Polite Mail"/>
    <s v="Polite Mail"/>
    <m/>
    <x v="8"/>
    <s v="Suzanne McCloskey"/>
    <m/>
    <m/>
    <m/>
    <s v="Y"/>
    <m/>
    <m/>
    <s v="Y"/>
    <m/>
    <n v="0"/>
    <n v="0.9"/>
    <m/>
    <s v="REBECCA L. HOUGH"/>
    <m/>
    <s v="NA"/>
    <x v="2"/>
    <s v="should be retiring. Workshop should be taking that functionality."/>
  </r>
  <r>
    <x v="118"/>
    <s v="PowerAdvocate"/>
    <s v="PowerAdvocate"/>
    <s v="BizTalk Outbound to PowerAdvocate (they do not have APIs for ingesting data)_x000a__x000a_/export/ceaP/ECP/int/staging_out/sc/SC_PowerAdvocate_PCard_*.csv_x000a__x000a_/export/ceaP/ECP/int/staging_out/sc/SC_PowerAdvocate_TE_*.csv_x000a__x000a_/export/ceaP/ECP/int/staging_out/sc/CE_Ariba_SV_SAP_*.zip"/>
    <x v="9"/>
    <s v="Dylan Haan"/>
    <s v="Schwartz, Isabel &lt;isabel.schwartz@woodmac.com&gt;"/>
    <s v="Y"/>
    <s v="Y"/>
    <s v="Y"/>
    <s v="Not Likely"/>
    <s v="Not Likely"/>
    <s v="Possibly"/>
    <s v="Not Sure"/>
    <n v="20000"/>
    <n v="0.25"/>
    <s v="•Already have other customers using SAP S/4_x000a_•There is the option to update the data extract when a customer moves over to S/4 HANA and we would recommend that Consumers do this _x000a_•Do Not have APIs for ingesting data. "/>
    <s v="Kenneth W. Krejcik"/>
    <m/>
    <s v="Tech Upgrade"/>
    <x v="3"/>
    <s v="3 existing BizTalk files; contacted vendor; they already have other customers using SAP S/4; there are some data extract changes they recommend for when customers move to S/4; they currently do not have APIs for ingesting data; estimated a vendor cost, but we did not discuss change impact or cost implications estimated at $50k (but this ROM could be way off)"/>
  </r>
  <r>
    <x v="119"/>
    <s v="ServiceNow"/>
    <s v="ServiceNow"/>
    <s v="SC_INT_200 - PO/API custom internally built supported internally (not by vendor) Outbound to ServiceNow_x000a__x000a_SC_INT_220 - PO/API custom internally built supported internally (not by vendor) Outbound to ServiceNow_x000a__x000a_SC_INT_221 - PO/API custom internally built supported internally (not by vendor) Inbound to SAP_x000a__x000a_SC_INT_210 - PO/API custom internally built supported internally (not by vendor) Inbound to SAP_x000a__x000a_FI_INT_1000 - BizTalk; custom internally built supported internally (not by vendor) Outbound to ServiceNow; Replaced Enlighta; Venky and Vas both felt this should be owned/supported by FI; ZSC_INT package; Program name ZSC_PO_EXTRACT_FOR_SN; T-code: ZSC_PO_4SN_x000a_"/>
    <x v="9"/>
    <s v="Heather Krieger, Luke Smith"/>
    <s v="?"/>
    <s v="No"/>
    <s v="Y-Likely"/>
    <s v="N-Not Likely"/>
    <s v="Not Likely"/>
    <s v="Not Likely"/>
    <s v="Possibly"/>
    <s v="Not Likely"/>
    <n v="20000"/>
    <n v="0.25"/>
    <s v="Spoke with Luke Smith and Venky Aradhyula on 8/15/2025, and we all agreed that there is a low risk the vendor should have much impact or effort on their side and we are not expecting a SOW or costs implications from them.  Per Luke Smith: &quot;Since currently the interface is all custom built we would be responsible for making sure it works with S4.  We have the internal expertise to make these changes.&quot;_x000a__x000a_4 of the 5 interfaces are SC using PO/APIs; the 5th was built by Finance (Venky) and is using BizTalk"/>
    <s v="Kenneth W. Krejcik"/>
    <m/>
    <s v="Tech Upgrade or Re-write with SNOW APIs?"/>
    <x v="3"/>
    <s v="Mostly Intenal work, would not need ServiceNow vendor support, only if there are any issues while testing."/>
  </r>
  <r>
    <x v="120"/>
    <s v="ACF Global Logistics"/>
    <s v="ACF Global Logistics"/>
    <s v="SC_INT_090 - PO and BizTalk Outbound to ACF_x000a__x000a_•_x0009_Per Vas, he has Roger Deaver as a contact roger@4c-it.com (not sure if you have someone different)_x000a_•_x0009_DFX SFX Incoterms triggers the Outbound PO file to ACF (SC_INT_090)_x000a_•_x0009_ACF then sends us an Inbound Invoice file (FI_INT_880)"/>
    <x v="9"/>
    <s v="Lisa Hibbler; Katrina Ramsey"/>
    <s v="?"/>
    <s v="Y"/>
    <s v="Y-Likely"/>
    <s v="Y"/>
    <s v="Not Likely"/>
    <s v="Not Likely"/>
    <s v="Possibly"/>
    <s v="Not Sure"/>
    <n v="50000"/>
    <n v="0.25"/>
    <s v="Not provided any cost impact or estimate, but the vendor indicated they could support APIs if we wanted to move that direction which may then have SOW or cost implications."/>
    <s v="Kenneth W. Krejcik"/>
    <m/>
    <s v="Tech Upgrade or Re-write with SNOW APIs?"/>
    <x v="1"/>
    <s v="SC_INT_090 - PO and BizTalk Outbound to ACF; ACF then sends us an Inbound Invoice file (FI_INT_880); contacted vendor; not provided any cost impact or estimate, but the vendor indicated they could support APIs if we wanted to move that direction which may then have SOW or cost implications estimated at $50k (but this ROM could be way off)"/>
  </r>
  <r>
    <x v="121"/>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22"/>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23"/>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24"/>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25"/>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26"/>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27"/>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28"/>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29"/>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30"/>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31"/>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32"/>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33"/>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34"/>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35"/>
    <s v="EDI Vendor"/>
    <s v="EDI Vendor"/>
    <s v="EDI"/>
    <x v="9"/>
    <s v="Matt Turner, Matt Herbert"/>
    <s v="?"/>
    <s v="N"/>
    <s v="Y-Likely"/>
    <s v="Regession Testing"/>
    <s v="Unlikely"/>
    <s v="Unlikely"/>
    <s v="Unlikely"/>
    <s v="Unlikely"/>
    <n v="20000"/>
    <n v="0.9"/>
    <s v="June 2025: Current Active List is approximately 15, but the business is planning to add 10 more. Advised to put Matt Turner and Matter Herbert down as primary contacts for all EDI vendors. We likely do not have contracts specific to EDI for each of the vendors. EDI upgrade to move away from BizTalk is being handled as a standalone effort, but we likely will want to retest with some or all of our EDI vendors once we are in S/4.  We think the Launchpad risk of cost implications is low since the move away from BizTalk to an alternative technology is already been managed outside of Launchpad.    Per Jason Bates: No contracts found in Ariba.  Check with Michelle Savicki or Bruce Vida Jr."/>
    <s v="Kenneth W. Krejcik"/>
    <m/>
    <s v="Tech Upgrade"/>
    <x v="3"/>
    <s v="S4 EDI Testing Support"/>
  </r>
  <r>
    <x v="136"/>
    <s v="ISNetworld"/>
    <s v="ISNetworld"/>
    <s v="SC_ISN_101 -  PO/API based Outbound to ISN_x000a_SC_ISN_102 -  PO/API based Outbound to ISN_x000a_SC_ISN_103 -  PO/API based Outbound to ISN_x000a_SC_ISN_104 -  PO/API based Outbound to ISN_x000a_SC_ISN_105 -  PO/API based Outbound to ISN"/>
    <x v="9"/>
    <s v="Nicole L Choponis"/>
    <s v="?"/>
    <s v="N"/>
    <s v="Y-Likely"/>
    <s v="Y"/>
    <s v="Not Likely"/>
    <s v="Not Likely"/>
    <s v="Not Likely"/>
    <s v="Not Likely"/>
    <n v="20000"/>
    <n v="0.25"/>
    <s v="Spoke with Matt Herbert on 8/25/2025, and we both agreed that there is a low risk the vendor should have much impact or effort on their side and we are not expecting a SOW or costs implications from them."/>
    <s v="Kenneth W. Krejcik"/>
    <m/>
    <s v="Tech Upgrade"/>
    <x v="3"/>
    <s v="5 existing PO/API based Outbound to ISN; Spoke with Matt Herbert on 8/25/2025, and we both agreed that there is a low risk the vendor should have much impact or effort on their side and we are not expecting a SOW or costs implications from the them; vendor was not contacted"/>
  </r>
  <r>
    <x v="137"/>
    <s v="Bentley CONNECTION Client"/>
    <s v="Bentley CONNECTION Client"/>
    <s v="PO"/>
    <x v="10"/>
    <s v="Abbie J. Egherman &lt;ABBIE.EGHERMAN@cmsenergy.com&gt;_x000a_c:  734-975-0828"/>
    <m/>
    <m/>
    <m/>
    <m/>
    <m/>
    <m/>
    <m/>
    <m/>
    <n v="20000"/>
    <m/>
    <m/>
    <s v="Scott Fremeau/Jessica Wilson"/>
    <s v="Design, WO etc."/>
    <s v="Tech Upgrade"/>
    <x v="3"/>
    <m/>
  </r>
  <r>
    <x v="137"/>
    <s v="Bentley OpenUtilities Job Scheduler"/>
    <s v="Bentley OpenUtilities Job Scheduler"/>
    <s v="PO"/>
    <x v="10"/>
    <s v="Abbie J. Egherman &lt;ABBIE.EGHERMAN@cmsenergy.com&gt;_x000a_c:  734-975-0828"/>
    <m/>
    <m/>
    <m/>
    <m/>
    <m/>
    <m/>
    <m/>
    <m/>
    <n v="20000"/>
    <m/>
    <m/>
    <s v="Scott Fremeau/Jessica Wilson"/>
    <s v="Design, WO etc."/>
    <s v="Tech Upgrade"/>
    <x v="3"/>
    <m/>
  </r>
  <r>
    <x v="137"/>
    <s v="Bentley OpenUtilities Map Connect Edition"/>
    <s v="Bentley OpenUtilities Map Connect Edition"/>
    <s v="PO"/>
    <x v="10"/>
    <s v="Abbie J. Egherman &lt;ABBIE.EGHERMAN@cmsenergy.com&gt;_x000a_c:  734-975-0828"/>
    <m/>
    <m/>
    <m/>
    <m/>
    <m/>
    <m/>
    <m/>
    <m/>
    <n v="20000"/>
    <m/>
    <m/>
    <s v="Scott Fremeau/Jessica Wilson"/>
    <s v="Design, WO etc."/>
    <s v="Tech Upgrade"/>
    <x v="3"/>
    <m/>
  </r>
  <r>
    <x v="137"/>
    <s v="Bentley OpenUtilities PowerView"/>
    <s v="Bentley OpenUtilities PowerView"/>
    <s v="PO"/>
    <x v="10"/>
    <s v="Abbie J. Egherman &lt;ABBIE.EGHERMAN@cmsenergy.com&gt;_x000a_c:  734-975-0828"/>
    <m/>
    <m/>
    <m/>
    <m/>
    <m/>
    <m/>
    <m/>
    <m/>
    <n v="20000"/>
    <m/>
    <m/>
    <s v="Scott Fremeau/Jessica Wilson"/>
    <s v="Design, WO etc."/>
    <s v="Tech Upgrade"/>
    <x v="3"/>
    <m/>
  </r>
  <r>
    <x v="137"/>
    <s v="Bentley OpenUtilities Workflow Manager"/>
    <s v="Bentley OpenUtilities Workflow Manager"/>
    <s v="PO"/>
    <x v="10"/>
    <s v="Abbie J. Egherman &lt;ABBIE.EGHERMAN@cmsenergy.com&gt;_x000a_c:  734-975-0828"/>
    <m/>
    <m/>
    <m/>
    <m/>
    <m/>
    <m/>
    <m/>
    <m/>
    <n v="20000"/>
    <m/>
    <m/>
    <s v="Scott Fremeau/Jessica Wilson"/>
    <s v="Design, WO etc."/>
    <s v="Tech Upgrade"/>
    <x v="3"/>
    <m/>
  </r>
  <r>
    <x v="137"/>
    <s v="Bentley Select Server"/>
    <s v="Bentley Select Server"/>
    <s v="PO"/>
    <x v="10"/>
    <s v="Abbie J. Egherman &lt;ABBIE.EGHERMAN@cmsenergy.com&gt;_x000a_c:  734-975-0828"/>
    <m/>
    <m/>
    <m/>
    <m/>
    <m/>
    <m/>
    <m/>
    <m/>
    <n v="20000"/>
    <m/>
    <m/>
    <s v="Scott Fremeau/Jessica Wilson"/>
    <s v="Design, WO etc."/>
    <s v="Tech Upgrade"/>
    <x v="3"/>
    <m/>
  </r>
  <r>
    <x v="137"/>
    <s v="MICROSTATION"/>
    <s v="MICROSTATION"/>
    <s v="PO"/>
    <x v="10"/>
    <s v="Abbie J. Egherman &lt;ABBIE.EGHERMAN@cmsenergy.com&gt;_x000a_c:  734-975-0828"/>
    <m/>
    <m/>
    <m/>
    <m/>
    <m/>
    <m/>
    <m/>
    <m/>
    <n v="20000"/>
    <m/>
    <m/>
    <s v="Scott Fremeau/Jessica Wilson"/>
    <s v="Design, WO etc."/>
    <s v="Tech Upgrade"/>
    <x v="3"/>
    <m/>
  </r>
  <r>
    <x v="138"/>
    <s v="Openway Collection Engine"/>
    <s v="Openway Collection Engine"/>
    <m/>
    <x v="10"/>
    <s v="Alex Dekamp/Tom Esser"/>
    <m/>
    <m/>
    <m/>
    <m/>
    <m/>
    <m/>
    <m/>
    <m/>
    <n v="50000"/>
    <m/>
    <m/>
    <s v="Scott Fremeau/Jessica Wilson"/>
    <s v="Remote Disconnects/Reconnects"/>
    <s v="Tech Upgrade"/>
    <x v="1"/>
    <s v="Uses SAP Standard AMI Services. Should not be much impacts on the Itron side with S4, re-use their standard APIs. But we might need took at TIBCO ESB orchrestration, if there ia apetite to move that to S4 BTP."/>
  </r>
  <r>
    <x v="138"/>
    <s v="OpenWay Collection Engine_x000a_Itron FCS_x000a_Openway FieldPro_x000a_MV-90"/>
    <s v="OpenWay Collection Engine_x000a_Itron FCS_x000a_Openway FieldPro_x000a_MV-90"/>
    <s v="PO, Axway, ESB"/>
    <x v="10"/>
    <s v="Alexander Dekamp/Thomas Esser"/>
    <m/>
    <m/>
    <m/>
    <m/>
    <m/>
    <m/>
    <m/>
    <m/>
    <n v="50000"/>
    <m/>
    <m/>
    <s v="Scott Fremeau/Jessica Wilson"/>
    <s v="Meter Readings"/>
    <s v="Tech Upgrade"/>
    <x v="1"/>
    <s v="Shouldn't be much changes for OWCE and FCS. FieldPro and MV-90 a TBD probably up for upgrade in future, might make sense to keep the interfaces working."/>
  </r>
  <r>
    <x v="139"/>
    <s v="ARCOS"/>
    <s v="ARCOS"/>
    <s v="PO, Azure APIM"/>
    <x v="10"/>
    <s v="Amanda Gomez"/>
    <m/>
    <m/>
    <m/>
    <m/>
    <m/>
    <m/>
    <m/>
    <m/>
    <n v="20000"/>
    <m/>
    <m/>
    <s v="Scott Fremeau/Jessica Wilson"/>
    <s v="Employee and Shift Info"/>
    <s v="Tech Upgrade"/>
    <x v="3"/>
    <s v="Arcos APIs are being used, so should not be much change on their end. For SAP Changes as well, ARCOS might be a AppRat candidate in future, might not make sense to re-write now."/>
  </r>
  <r>
    <x v="140"/>
    <s v="GCON Property Restoration"/>
    <s v="GCON Property Restoration"/>
    <s v="PO"/>
    <x v="10"/>
    <s v="Benjamin Ericksen ; _x000a_Jonathan Demuth 1 &lt;Jonathan.Demuth1@cmsenergy.com&gt;_x000a_c: 315-657-7514"/>
    <m/>
    <m/>
    <m/>
    <m/>
    <m/>
    <m/>
    <m/>
    <m/>
    <m/>
    <m/>
    <m/>
    <s v="Scott Fremeau/Jessica Wilson"/>
    <s v="GIS, WO"/>
    <s v="Tech Upgrade"/>
    <x v="4"/>
    <s v="Inhouse"/>
  </r>
  <r>
    <x v="137"/>
    <s v="Bentley ProjectWise"/>
    <s v="Bentley ProjectWise"/>
    <s v="PO, ESB, Axway"/>
    <x v="10"/>
    <s v="Brandon M. Kroth_x000a_Document Control/ERC/Drafting/ProjectWise Manager_x000a_Electric Supply Engineering_x000a_Consumers Energy  |  P14-403  |  1945 W. Parnall  |  Jackson, MI 49201_x000a_O  517.788.1579  |  M  517.403.8441  |  Brandon.Kroth@cmsenergy.com_x000a__x000a_Charisse Klumpp_x000a_Director of Gas Asset Information_x000a_ Cell 517-257-8947 |  Teams Chat_x000a_ charisse.klumpp@cmsenergy.com"/>
    <m/>
    <m/>
    <m/>
    <m/>
    <m/>
    <m/>
    <m/>
    <m/>
    <n v="50000"/>
    <m/>
    <m/>
    <s v="Scott Fremeau/Jessica Wilson"/>
    <s v="Design, WO etc."/>
    <s v="Re-write with Std S4"/>
    <x v="1"/>
    <s v="Potential to re-write with standard SAP APIs, as the ProjectWise use is being expanded."/>
  </r>
  <r>
    <x v="141"/>
    <s v="EWN "/>
    <s v="EWN "/>
    <m/>
    <x v="10"/>
    <s v="China Threat (Williams)_x000a_Jeremy Hall"/>
    <m/>
    <m/>
    <m/>
    <m/>
    <m/>
    <m/>
    <m/>
    <m/>
    <n v="50000"/>
    <m/>
    <m/>
    <s v="Scott Fremeau/Jessica Wilson"/>
    <m/>
    <s v="Tech Upgrade"/>
    <x v="1"/>
    <m/>
  </r>
  <r>
    <x v="142"/>
    <s v="Smart Meter data"/>
    <s v="Integration"/>
    <s v="PO, Axway, ESB"/>
    <x v="10"/>
    <s v="David Shanks/Jacqueline Knight"/>
    <m/>
    <m/>
    <m/>
    <m/>
    <m/>
    <m/>
    <m/>
    <m/>
    <n v="50000"/>
    <m/>
    <m/>
    <s v="Scott Fremeau/Jessica Wilson"/>
    <m/>
    <s v="Tech Upgrade"/>
    <x v="1"/>
    <m/>
  </r>
  <r>
    <x v="143"/>
    <s v="SNAP"/>
    <s v="SNAP"/>
    <s v="File based integration (did we change to WS?)"/>
    <x v="10"/>
    <s v="DEAN L MARTIN/Jennifer Wallingford"/>
    <m/>
    <m/>
    <m/>
    <m/>
    <m/>
    <m/>
    <m/>
    <m/>
    <n v="20000"/>
    <m/>
    <m/>
    <s v="Scott Fremeau/Jessica Wilson"/>
    <m/>
    <s v="Tech Upgrade"/>
    <x v="3"/>
    <m/>
  </r>
  <r>
    <x v="144"/>
    <s v="CopperLeaf"/>
    <s v="CopperLeaf"/>
    <s v="No Integrations with SAP"/>
    <x v="10"/>
    <s v="Duncan Patterson"/>
    <m/>
    <m/>
    <m/>
    <m/>
    <m/>
    <m/>
    <m/>
    <m/>
    <m/>
    <m/>
    <m/>
    <s v="Scott Fremeau/Jessica Wilson"/>
    <m/>
    <s v="NA"/>
    <x v="4"/>
    <s v="No Integrations with SAP"/>
  </r>
  <r>
    <x v="144"/>
    <s v="Copperleaf"/>
    <s v="Copperleaf"/>
    <s v="No Integrations with SAP"/>
    <x v="10"/>
    <s v="Duncan Patterson"/>
    <m/>
    <m/>
    <m/>
    <m/>
    <m/>
    <m/>
    <m/>
    <m/>
    <m/>
    <m/>
    <m/>
    <s v="Scott Fremeau/Jessica Wilson"/>
    <m/>
    <s v="NA"/>
    <x v="4"/>
    <s v="No Integrations with SAP"/>
  </r>
  <r>
    <x v="145"/>
    <s v="FieldNet Meter Reading System"/>
    <s v="FieldNet Meter Reading System"/>
    <s v="PO, Axway"/>
    <x v="10"/>
    <s v="Jason Christie"/>
    <m/>
    <m/>
    <m/>
    <m/>
    <m/>
    <m/>
    <m/>
    <m/>
    <n v="20000"/>
    <m/>
    <m/>
    <s v="Scott Fremeau/Jessica Wilson"/>
    <m/>
    <s v="Tech Upgrade"/>
    <x v="3"/>
    <m/>
  </r>
  <r>
    <x v="146"/>
    <s v="PI GAS AMR"/>
    <s v="PI GAS AMR"/>
    <s v="PO, ESB, Axway"/>
    <x v="10"/>
    <s v="Jen Wallingford"/>
    <m/>
    <m/>
    <m/>
    <m/>
    <m/>
    <m/>
    <m/>
    <m/>
    <m/>
    <m/>
    <m/>
    <s v="Scott Fremeau/Jessica Wilson"/>
    <m/>
    <s v="NA"/>
    <x v="4"/>
    <s v="Internal Support "/>
  </r>
  <r>
    <x v="147"/>
    <s v="eSOMS"/>
    <s v="eSOMS"/>
    <s v="PO"/>
    <x v="10"/>
    <s v="Jennifer Wallingford"/>
    <m/>
    <m/>
    <m/>
    <m/>
    <m/>
    <m/>
    <m/>
    <m/>
    <n v="20000"/>
    <m/>
    <m/>
    <s v="Scott Fremeau/Jessica Wilson"/>
    <m/>
    <s v="Tech Upgrade"/>
    <x v="3"/>
    <s v="Internal integrations, vendor support might be needed if any issues."/>
  </r>
  <r>
    <x v="147"/>
    <s v="SAP WAM eSOMS Interface"/>
    <s v="SAP WAM eSOMS Interface"/>
    <s v="PO"/>
    <x v="10"/>
    <s v="Jennifer Wallingford"/>
    <m/>
    <m/>
    <m/>
    <m/>
    <m/>
    <m/>
    <m/>
    <m/>
    <m/>
    <m/>
    <m/>
    <s v="Scott Fremeau/Jessica Wilson"/>
    <m/>
    <s v="Tech Upgrade"/>
    <x v="4"/>
    <s v="covered above in eSOMS"/>
  </r>
  <r>
    <x v="138"/>
    <s v="Itron FCS"/>
    <s v="Itron FCS"/>
    <s v="PO, Axway, ESB"/>
    <x v="10"/>
    <s v="Jennifer Wallingford"/>
    <m/>
    <m/>
    <m/>
    <m/>
    <m/>
    <m/>
    <m/>
    <m/>
    <n v="20000"/>
    <m/>
    <m/>
    <s v="Scott Fremeau/Jessica Wilson"/>
    <m/>
    <s v="Tech Upgrade"/>
    <x v="3"/>
    <m/>
  </r>
  <r>
    <x v="138"/>
    <s v="MDM IEE"/>
    <s v="MDM IEE"/>
    <s v="PO, Axway, ESB"/>
    <x v="10"/>
    <s v="Jennifer Wallingford"/>
    <m/>
    <m/>
    <m/>
    <m/>
    <m/>
    <m/>
    <m/>
    <m/>
    <n v="20000"/>
    <m/>
    <m/>
    <s v="Scott Fremeau/Jessica Wilson"/>
    <m/>
    <s v="Tech Upgrade"/>
    <x v="3"/>
    <m/>
  </r>
  <r>
    <x v="138"/>
    <s v="MVLTxi"/>
    <s v="MVLTxi"/>
    <s v="Probably MV90?"/>
    <x v="10"/>
    <s v="Jennifer Wallingford"/>
    <m/>
    <m/>
    <m/>
    <m/>
    <m/>
    <m/>
    <m/>
    <m/>
    <m/>
    <m/>
    <m/>
    <s v="Scott Fremeau/Jessica Wilson"/>
    <m/>
    <s v="NA"/>
    <x v="4"/>
    <m/>
  </r>
  <r>
    <x v="148"/>
    <s v="Oracle Analytics Publisher"/>
    <s v="Oracle Analytics Publisher"/>
    <s v="Combined with Unifier as a package"/>
    <x v="10"/>
    <s v="Jennifer Wallingford"/>
    <m/>
    <m/>
    <m/>
    <m/>
    <m/>
    <m/>
    <m/>
    <m/>
    <m/>
    <m/>
    <m/>
    <s v="Scott Fremeau/Jessica Wilson"/>
    <m/>
    <s v="Tech Upgrade"/>
    <x v="4"/>
    <s v="Combined with Unifier estimate"/>
  </r>
  <r>
    <x v="148"/>
    <s v="Oracle BI Publisher"/>
    <s v="Oracle BI Publisher"/>
    <s v="Combined with Unifier as a package"/>
    <x v="10"/>
    <s v="Jennifer Wallingford"/>
    <m/>
    <m/>
    <m/>
    <m/>
    <m/>
    <m/>
    <m/>
    <m/>
    <m/>
    <m/>
    <m/>
    <s v="Scott Fremeau/Jessica Wilson"/>
    <m/>
    <s v="Tech Upgrade"/>
    <x v="4"/>
    <s v="Combined with Unifier estimate"/>
  </r>
  <r>
    <x v="148"/>
    <s v="Unifier"/>
    <s v="Unifier"/>
    <s v="PO"/>
    <x v="10"/>
    <s v="Jennifer Wallingford"/>
    <m/>
    <m/>
    <m/>
    <m/>
    <m/>
    <m/>
    <m/>
    <m/>
    <n v="75000"/>
    <m/>
    <m/>
    <s v="Scott Fremeau/Jessica Wilson"/>
    <m/>
    <s v="Tech Upgrade"/>
    <x v="0"/>
    <s v="Unifier, Impress, BI Pub all together medium."/>
  </r>
  <r>
    <x v="149"/>
    <s v="Impress"/>
    <s v="Impress"/>
    <s v="Combined with Unifier as a package"/>
    <x v="10"/>
    <s v="Jennifer Wallingford"/>
    <m/>
    <m/>
    <m/>
    <m/>
    <m/>
    <m/>
    <m/>
    <m/>
    <m/>
    <m/>
    <m/>
    <s v="Scott Fremeau/Jessica Wilson"/>
    <m/>
    <s v="Tech Upgrade"/>
    <x v="4"/>
    <s v="Combined with Unifier estimate"/>
  </r>
  <r>
    <x v="150"/>
    <s v="FMRS"/>
    <s v="FMRS"/>
    <m/>
    <x v="10"/>
    <s v="Jennifer Wallingford &amp; Carol Boyk"/>
    <m/>
    <m/>
    <m/>
    <m/>
    <m/>
    <m/>
    <m/>
    <m/>
    <n v="20000"/>
    <m/>
    <m/>
    <s v="Scott Fremeau/Jessica Wilson"/>
    <m/>
    <s v="Tech Upgrade"/>
    <x v="3"/>
    <m/>
  </r>
  <r>
    <x v="146"/>
    <s v="ADMS"/>
    <s v="ADMS"/>
    <s v="PO, Tibco ESB"/>
    <x v="10"/>
    <s v="Krishna Karunakaram"/>
    <m/>
    <m/>
    <m/>
    <m/>
    <m/>
    <m/>
    <m/>
    <m/>
    <m/>
    <m/>
    <m/>
    <s v="Scott Fremeau/Jessica Wilson"/>
    <m/>
    <s v="NA"/>
    <x v="4"/>
    <s v="Combined with ADMS OMS below"/>
  </r>
  <r>
    <x v="146"/>
    <s v="ADMS DMS"/>
    <s v="ADMS DMS"/>
    <s v="PO, Tibco ESB"/>
    <x v="10"/>
    <s v="Krishna Karunakaram"/>
    <m/>
    <m/>
    <m/>
    <m/>
    <m/>
    <m/>
    <m/>
    <m/>
    <m/>
    <m/>
    <m/>
    <s v="Scott Fremeau/Jessica Wilson"/>
    <m/>
    <s v="NA"/>
    <x v="4"/>
    <s v="Combined with ADMS OMS below"/>
  </r>
  <r>
    <x v="146"/>
    <s v="ADMS OMS"/>
    <s v="ADMS OMS"/>
    <s v="PO, Tibco ESB"/>
    <x v="10"/>
    <s v="Krishna Karunakaram"/>
    <m/>
    <m/>
    <m/>
    <m/>
    <m/>
    <m/>
    <m/>
    <m/>
    <n v="75000"/>
    <m/>
    <m/>
    <s v="Scott Fremeau/Jessica Wilson"/>
    <m/>
    <s v="Tech Upgrade"/>
    <x v="0"/>
    <s v="PT Storm Testing support, Vendor supported needed only if the internal teams cannot resolve issues."/>
  </r>
  <r>
    <x v="151"/>
    <s v="Gas GIS"/>
    <s v="Gas GIS"/>
    <m/>
    <x v="10"/>
    <s v="Liesl A. Smith &lt;LIESL.SMITH@cmsenergy.com&gt;_x000a_c: 517-303-9858_x000a_"/>
    <m/>
    <m/>
    <m/>
    <m/>
    <m/>
    <m/>
    <m/>
    <m/>
    <m/>
    <m/>
    <m/>
    <s v="Scott Fremeau/Jessica Wilson"/>
    <m/>
    <s v="Tech Upgrade"/>
    <x v="4"/>
    <s v="Covered in Electric GIS line item below"/>
  </r>
  <r>
    <x v="151"/>
    <s v="Landbase GIS"/>
    <s v="Landbase GIS"/>
    <m/>
    <x v="10"/>
    <s v="Liesl A. Smith &lt;LIESL.SMITH@cmsenergy.com&gt;_x000a_c: 517-303-9858_x000a_"/>
    <m/>
    <m/>
    <m/>
    <m/>
    <m/>
    <m/>
    <m/>
    <m/>
    <m/>
    <m/>
    <m/>
    <s v="Scott Fremeau/Jessica Wilson"/>
    <m/>
    <s v="Tech Upgrade"/>
    <x v="4"/>
    <s v="Covered in Electric GIS line item below"/>
  </r>
  <r>
    <x v="151"/>
    <s v="ArcGIS Enterprise"/>
    <s v="ArcGIS Enterprise"/>
    <m/>
    <x v="10"/>
    <s v="Matthew R. Faunt_x000a_ &lt;MATTHEW.FAUNT@cmsenergy.com&gt;_x000a_GIS Platform Administration_x000a_CX&amp;T-IT-Gas Supply &amp; Asset Management _x000a_C: 517-243-0454"/>
    <m/>
    <m/>
    <m/>
    <m/>
    <m/>
    <m/>
    <m/>
    <m/>
    <m/>
    <m/>
    <m/>
    <s v="Scott Fremeau/Jessica Wilson"/>
    <m/>
    <s v="Tech Upgrade"/>
    <x v="4"/>
    <s v="Covered in Electric GIS line item below"/>
  </r>
  <r>
    <x v="151"/>
    <s v="ArcGIS Mobile"/>
    <s v="ArcGIS Mobile"/>
    <m/>
    <x v="10"/>
    <s v="Matthew R. Faunt_x000a_ &lt;MATTHEW.FAUNT@cmsenergy.com&gt;_x000a_GIS Platform Administration_x000a_CX&amp;T-IT-Gas Supply &amp; Asset Management _x000a_C: 517-243-0454"/>
    <m/>
    <m/>
    <m/>
    <m/>
    <m/>
    <m/>
    <m/>
    <m/>
    <m/>
    <m/>
    <m/>
    <s v="Scott Fremeau/Jessica Wilson"/>
    <m/>
    <s v="Tech Upgrade"/>
    <x v="4"/>
    <s v="Covered in Electric GIS line item below"/>
  </r>
  <r>
    <x v="151"/>
    <s v="ArcGIS Online AGOL"/>
    <s v="ArcGIS Online AGOL"/>
    <m/>
    <x v="10"/>
    <s v="Matthew R. Faunt_x000a_ &lt;MATTHEW.FAUNT@cmsenergy.com&gt;_x000a_GIS Platform Administration_x000a_CX&amp;T-IT-Gas Supply &amp; Asset Management _x000a_C: 517-243-0454"/>
    <m/>
    <m/>
    <m/>
    <m/>
    <m/>
    <m/>
    <m/>
    <m/>
    <m/>
    <m/>
    <m/>
    <s v="Scott Fremeau/Jessica Wilson"/>
    <m/>
    <s v="Tech Upgrade"/>
    <x v="4"/>
    <s v="Covered in Electric GIS line item below"/>
  </r>
  <r>
    <x v="152"/>
    <s v="Cascade"/>
    <s v="Cascade"/>
    <m/>
    <x v="10"/>
    <s v="Michael D. Cooper _x000a_"/>
    <m/>
    <m/>
    <m/>
    <m/>
    <m/>
    <m/>
    <m/>
    <m/>
    <n v="20000"/>
    <m/>
    <m/>
    <s v="Scott Fremeau/Jessica Wilson"/>
    <m/>
    <s v="Tech Upgrade"/>
    <x v="3"/>
    <m/>
  </r>
  <r>
    <x v="151"/>
    <s v="Electric GIS"/>
    <s v="Electric GIS"/>
    <m/>
    <x v="10"/>
    <s v="Michael S. Scott &lt;MICHAEL.SCOTT@cmsenergy.com&gt;_x000a_517-788-1036_x000a_"/>
    <m/>
    <m/>
    <m/>
    <m/>
    <m/>
    <m/>
    <m/>
    <m/>
    <n v="75000"/>
    <m/>
    <m/>
    <s v="Scott Fremeau/Jessica Wilson"/>
    <m/>
    <s v="Tech Upgrade"/>
    <x v="0"/>
    <s v="All GIS upgrades part of UN projects are separate scope from S4, the SAP GIS Integrations/Sync will be part of UN scope. For S4, it's more Reg testing. For any data model changes in WAM, we might need some support from ESRI, so categorizing it as Medium for all GIS's together. "/>
  </r>
  <r>
    <x v="153"/>
    <s v="Geotab"/>
    <s v="Geotab"/>
    <s v="Fleet, no SAP Integrations?"/>
    <x v="10"/>
    <s v="Michelle Stoimenoff "/>
    <m/>
    <m/>
    <m/>
    <m/>
    <m/>
    <m/>
    <m/>
    <m/>
    <m/>
    <m/>
    <m/>
    <s v="Scott Fremeau/Jessica Wilson"/>
    <m/>
    <s v="NA"/>
    <x v="4"/>
    <s v="Fleet, no SAP integrations"/>
  </r>
  <r>
    <x v="147"/>
    <s v="Service Suite"/>
    <s v="Service Suite"/>
    <m/>
    <x v="10"/>
    <s v="Mike Cooper"/>
    <m/>
    <m/>
    <m/>
    <m/>
    <m/>
    <m/>
    <m/>
    <m/>
    <n v="75000"/>
    <m/>
    <m/>
    <s v="Scott Fremeau/Jessica Wilson"/>
    <m/>
    <s v="Tech Upgrade"/>
    <x v="0"/>
    <m/>
  </r>
  <r>
    <x v="154"/>
    <s v="UtiliSphere"/>
    <s v="UtiliSphere"/>
    <m/>
    <x v="10"/>
    <s v="Mike Cooper"/>
    <m/>
    <m/>
    <m/>
    <m/>
    <m/>
    <m/>
    <m/>
    <m/>
    <n v="20000"/>
    <m/>
    <m/>
    <s v="Scott Fremeau/Jessica Wilson"/>
    <m/>
    <s v="Tech Upgrade"/>
    <x v="3"/>
    <m/>
  </r>
  <r>
    <x v="138"/>
    <s v="Openway FieldPro"/>
    <s v="Openway FieldPro"/>
    <m/>
    <x v="10"/>
    <s v="Scot Ward"/>
    <m/>
    <m/>
    <m/>
    <m/>
    <m/>
    <m/>
    <m/>
    <m/>
    <m/>
    <m/>
    <m/>
    <s v="Scott Fremeau/Jessica Wilson"/>
    <m/>
    <s v="Tech Upgrade"/>
    <x v="4"/>
    <s v="No Integrations with SAP"/>
  </r>
  <r>
    <x v="155"/>
    <s v="PRONTO"/>
    <s v="PRONTO"/>
    <s v="File based integration"/>
    <x v="10"/>
    <s v="Scot Ward/LUIS E ARCIENEGA"/>
    <m/>
    <m/>
    <m/>
    <m/>
    <m/>
    <m/>
    <m/>
    <m/>
    <n v="20000"/>
    <m/>
    <m/>
    <s v="Scott Fremeau/Jessica Wilson"/>
    <m/>
    <s v="Tech Upgrade"/>
    <x v="3"/>
    <m/>
  </r>
  <r>
    <x v="156"/>
    <s v="Fuelworx"/>
    <s v="Fuelworx"/>
    <s v="Are we still using it?"/>
    <x v="10"/>
    <s v="Susie West"/>
    <m/>
    <m/>
    <m/>
    <m/>
    <m/>
    <m/>
    <m/>
    <m/>
    <n v="20000"/>
    <m/>
    <m/>
    <s v="Scott Fremeau/Jessica Wilson"/>
    <m/>
    <s v="Tech Upgrade"/>
    <x v="3"/>
    <m/>
  </r>
  <r>
    <x v="83"/>
    <s v="SAP RE-FX Facilities Space Management (KORASOFT)"/>
    <s v="SAP RE-FX Facilities Space Management (KORASOFT)"/>
    <s v="Space Management, follow-up"/>
    <x v="10"/>
    <s v="Susie West"/>
    <m/>
    <m/>
    <m/>
    <m/>
    <m/>
    <m/>
    <m/>
    <m/>
    <n v="50000"/>
    <m/>
    <m/>
    <s v="Scott Fremeau/Jessica Wilson"/>
    <m/>
    <s v="Tech Upgrade"/>
    <x v="1"/>
    <m/>
  </r>
  <r>
    <x v="157"/>
    <s v="DEGREE DAYS.net API Basic"/>
    <s v="DEGREE DAYS.net API Basic"/>
    <m/>
    <x v="0"/>
    <s v="Brad Herson"/>
    <s v="N/A"/>
    <s v="N"/>
    <m/>
    <m/>
    <m/>
    <m/>
    <m/>
    <m/>
    <n v="20000"/>
    <m/>
    <m/>
    <m/>
    <m/>
    <s v="Tech Upgrade"/>
    <x v="3"/>
    <m/>
  </r>
  <r>
    <x v="158"/>
    <s v="Health Qualifications"/>
    <s v="Health Qualifications"/>
    <m/>
    <x v="8"/>
    <s v="Amie Ostrander"/>
    <m/>
    <m/>
    <m/>
    <s v="Y"/>
    <m/>
    <m/>
    <s v="Y"/>
    <m/>
    <n v="20000"/>
    <m/>
    <s v="Business Partner: Clare Powell"/>
    <s v="REBECCA L. HOUGH"/>
    <m/>
    <s v="Tech Upgrade"/>
    <x v="3"/>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x v="0"/>
    <s v="EDI Vendor"/>
    <x v="0"/>
  </r>
  <r>
    <x v="1"/>
    <s v="FlexiCapture"/>
    <x v="1"/>
  </r>
  <r>
    <x v="2"/>
    <s v="CompOne"/>
    <x v="2"/>
  </r>
  <r>
    <x v="3"/>
    <n v="0"/>
    <x v="1"/>
  </r>
  <r>
    <x v="4"/>
    <s v="ACF Global Logistics"/>
    <x v="0"/>
  </r>
  <r>
    <x v="5"/>
    <s v="EDI Vendor"/>
    <x v="0"/>
  </r>
  <r>
    <x v="6"/>
    <s v="Alteryx "/>
    <x v="1"/>
  </r>
  <r>
    <x v="7"/>
    <s v="ARCOS"/>
    <x v="3"/>
  </r>
  <r>
    <x v="8"/>
    <s v="GCC Supplier Integration (Not Testing)"/>
    <x v="4"/>
  </r>
  <r>
    <x v="9"/>
    <s v="ASI "/>
    <x v="1"/>
  </r>
  <r>
    <x v="10"/>
    <s v="PI GAS AMR"/>
    <x v="3"/>
  </r>
  <r>
    <x v="10"/>
    <s v="ADMS"/>
    <x v="3"/>
  </r>
  <r>
    <x v="10"/>
    <s v="ADMS DMS"/>
    <x v="3"/>
  </r>
  <r>
    <x v="10"/>
    <s v="ADMS OMS"/>
    <x v="3"/>
  </r>
  <r>
    <x v="11"/>
    <s v="Aspire"/>
    <x v="2"/>
  </r>
  <r>
    <x v="12"/>
    <s v="IVR is tied into AT&amp;T "/>
    <x v="5"/>
  </r>
  <r>
    <x v="13"/>
    <s v="SAP Data Refresh - Attunity Gold Client"/>
    <x v="6"/>
  </r>
  <r>
    <x v="14"/>
    <s v="BOA "/>
    <x v="1"/>
  </r>
  <r>
    <x v="15"/>
    <s v="Bentley CONNECTION Client"/>
    <x v="3"/>
  </r>
  <r>
    <x v="15"/>
    <s v="Bentley OpenUtilities Job Scheduler"/>
    <x v="3"/>
  </r>
  <r>
    <x v="15"/>
    <s v="Bentley OpenUtilities Map Connect Edition"/>
    <x v="3"/>
  </r>
  <r>
    <x v="15"/>
    <s v="Bentley OpenUtilities PowerView"/>
    <x v="3"/>
  </r>
  <r>
    <x v="15"/>
    <s v="Bentley OpenUtilities Workflow Manager"/>
    <x v="3"/>
  </r>
  <r>
    <x v="15"/>
    <s v="Bentley Select Server"/>
    <x v="7"/>
  </r>
  <r>
    <x v="15"/>
    <s v="MICROSTATION"/>
    <x v="3"/>
  </r>
  <r>
    <x v="15"/>
    <s v="Bentley ProjectWise"/>
    <x v="3"/>
  </r>
  <r>
    <x v="16"/>
    <s v="Business eBill"/>
    <x v="8"/>
  </r>
  <r>
    <x v="17"/>
    <s v="GCC Supplier Integration (Not Testing)"/>
    <x v="4"/>
  </r>
  <r>
    <x v="18"/>
    <s v="Biztalk "/>
    <x v="6"/>
  </r>
  <r>
    <x v="19"/>
    <s v="Account Reconciliation Blackline"/>
    <x v="1"/>
  </r>
  <r>
    <x v="20"/>
    <s v="EDI Vendor"/>
    <x v="0"/>
  </r>
  <r>
    <x v="21"/>
    <s v="BSI "/>
    <x v="2"/>
  </r>
  <r>
    <x v="22"/>
    <s v="Clarity"/>
    <x v="1"/>
  </r>
  <r>
    <x v="23"/>
    <s v="ECC Supplier Integration (Not Testing)"/>
    <x v="8"/>
  </r>
  <r>
    <x v="24"/>
    <s v="Email Remediation interfaces Integration"/>
    <x v="3"/>
  </r>
  <r>
    <x v="24"/>
    <s v="Guide to Our Svcs &amp; Buried Line inserts Integration"/>
    <x v="3"/>
  </r>
  <r>
    <x v="24"/>
    <s v="IWP?"/>
    <x v="3"/>
  </r>
  <r>
    <x v="24"/>
    <s v="Customer Survey Quality Assurance (SQM) Integration"/>
    <x v="3"/>
  </r>
  <r>
    <x v="24"/>
    <s v="Landlord Portal LLP"/>
    <x v="9"/>
  </r>
  <r>
    <x v="24"/>
    <s v="CRM7 (needed for Release 1)"/>
    <x v="10"/>
  </r>
  <r>
    <x v="24"/>
    <s v="Agricultural Services Database (OWNED BY WAM) Integration (WAM application)"/>
    <x v="11"/>
  </r>
  <r>
    <x v="24"/>
    <s v="Consumers Web Site/Sitecore ce.com"/>
    <x v="12"/>
  </r>
  <r>
    <x v="24"/>
    <s v="Streetlight Outage Application SOAR"/>
    <x v="11"/>
  </r>
  <r>
    <x v="24"/>
    <s v="C&amp;I DR NOC Reporting DRMS"/>
    <x v="12"/>
  </r>
  <r>
    <x v="24"/>
    <s v="SEEload-DRMS software"/>
    <x v="12"/>
  </r>
  <r>
    <x v="24"/>
    <s v="EE Rebate (to/from ICF or Nucleus) Integration"/>
    <x v="12"/>
  </r>
  <r>
    <x v="24"/>
    <s v="Theft Analytics/Theft Workbench"/>
    <x v="13"/>
  </r>
  <r>
    <x v="24"/>
    <s v="DPO Bill Stub Scanner Integration"/>
    <x v="11"/>
  </r>
  <r>
    <x v="24"/>
    <s v="DPO Receipt Printer Integration"/>
    <x v="13"/>
  </r>
  <r>
    <x v="24"/>
    <s v="FI to CCS Sales Tax Extract Integration"/>
    <x v="13"/>
  </r>
  <r>
    <x v="24"/>
    <s v="Business Center Warehouse (BCW) Integration "/>
    <x v="11"/>
  </r>
  <r>
    <x v="24"/>
    <s v="OT (OWCE, DRMS)"/>
    <x v="11"/>
  </r>
  <r>
    <x v="24"/>
    <s v="CSSO Portal"/>
    <x v="14"/>
  </r>
  <r>
    <x v="24"/>
    <s v="EAM Dashboard"/>
    <x v="14"/>
  </r>
  <r>
    <x v="24"/>
    <s v="ForestryWISE"/>
    <x v="15"/>
  </r>
  <r>
    <x v="24"/>
    <s v="iSchedule"/>
    <x v="15"/>
  </r>
  <r>
    <x v="24"/>
    <s v="Mobile Phone Application"/>
    <x v="16"/>
  </r>
  <r>
    <x v="24"/>
    <s v="Customer Portal Admin"/>
    <x v="12"/>
  </r>
  <r>
    <x v="24"/>
    <s v="Agency Portal/CEPass"/>
    <x v="1"/>
  </r>
  <r>
    <x v="24"/>
    <s v="TRS Tax Code"/>
    <x v="3"/>
  </r>
  <r>
    <x v="24"/>
    <s v="Fuelworx"/>
    <x v="1"/>
  </r>
  <r>
    <x v="25"/>
    <s v="EWR Master Customer Extract "/>
    <x v="17"/>
  </r>
  <r>
    <x v="26"/>
    <s v="EDI Vendor"/>
    <x v="0"/>
  </r>
  <r>
    <x v="27"/>
    <s v="Citibank "/>
    <x v="1"/>
  </r>
  <r>
    <x v="28"/>
    <s v="PowerMI Drive; Interconnections/PowerClerk "/>
    <x v="17"/>
  </r>
  <r>
    <x v="29"/>
    <s v="GCC Supplier Integration (Not Testing)"/>
    <x v="4"/>
  </r>
  <r>
    <x v="30"/>
    <s v="STP (Smart Thermostat) &amp; Home Energy Analysis (HER) Reporting Integration"/>
    <x v="17"/>
  </r>
  <r>
    <x v="31"/>
    <s v="Home Energy Analysis (HER) Reporting Integration"/>
    <x v="17"/>
  </r>
  <r>
    <x v="32"/>
    <s v="FMRS"/>
    <x v="3"/>
  </r>
  <r>
    <x v="33"/>
    <s v="ECC Supplier Integration (Not Testing)"/>
    <x v="8"/>
  </r>
  <r>
    <x v="34"/>
    <s v="Comerica "/>
    <x v="1"/>
  </r>
  <r>
    <x v="35"/>
    <s v="CompOne"/>
    <x v="2"/>
  </r>
  <r>
    <x v="36"/>
    <s v="ECC Supplier Integration (Testing)"/>
    <x v="8"/>
  </r>
  <r>
    <x v="37"/>
    <s v="EDI Vendor"/>
    <x v="0"/>
  </r>
  <r>
    <x v="38"/>
    <s v="CopperLeaf"/>
    <x v="3"/>
  </r>
  <r>
    <x v="38"/>
    <s v="Copperleaf"/>
    <x v="3"/>
  </r>
  <r>
    <x v="39"/>
    <s v="Dayforce/Ceridian"/>
    <x v="2"/>
  </r>
  <r>
    <x v="40"/>
    <s v="Collections Integration"/>
    <x v="18"/>
  </r>
  <r>
    <x v="41"/>
    <s v="DEGREE DAYS.net API Basic"/>
    <x v="8"/>
  </r>
  <r>
    <x v="42"/>
    <s v="Devonway"/>
    <x v="2"/>
  </r>
  <r>
    <x v="43"/>
    <s v="State Emergency Relief Fund (SER) Integration"/>
    <x v="18"/>
  </r>
  <r>
    <x v="44"/>
    <s v="GCC Supplier Integration (Not Testing)"/>
    <x v="4"/>
  </r>
  <r>
    <x v="45"/>
    <s v="ECC Supplier Integration (Not Testing)"/>
    <x v="8"/>
  </r>
  <r>
    <x v="46"/>
    <s v="GCC Supplier Integration (Not Testing)"/>
    <x v="4"/>
  </r>
  <r>
    <x v="47"/>
    <s v="Cascade"/>
    <x v="3"/>
  </r>
  <r>
    <x v="48"/>
    <s v="GCC Supplier Integration (Not Testing)"/>
    <x v="4"/>
  </r>
  <r>
    <x v="49"/>
    <s v="ECC Supplier Integration (Not Testing)"/>
    <x v="8"/>
  </r>
  <r>
    <x v="50"/>
    <s v="EWN "/>
    <x v="3"/>
  </r>
  <r>
    <x v="51"/>
    <s v="STP (Smart Thermostat)    Integration"/>
    <x v="17"/>
  </r>
  <r>
    <x v="52"/>
    <s v="FACTA"/>
    <x v="8"/>
  </r>
  <r>
    <x v="53"/>
    <s v="Equinity"/>
    <x v="2"/>
  </r>
  <r>
    <x v="54"/>
    <s v="EDI Vendor"/>
    <x v="0"/>
  </r>
  <r>
    <x v="55"/>
    <s v="GCC Supplier Integration (Testing)"/>
    <x v="8"/>
  </r>
  <r>
    <x v="56"/>
    <s v="Gas GIS"/>
    <x v="3"/>
  </r>
  <r>
    <x v="56"/>
    <s v="Landbase GIS"/>
    <x v="3"/>
  </r>
  <r>
    <x v="56"/>
    <s v="ArcGIS Enterprise"/>
    <x v="3"/>
  </r>
  <r>
    <x v="56"/>
    <s v="ArcGIS Mobile"/>
    <x v="3"/>
  </r>
  <r>
    <x v="56"/>
    <s v="ArcGIS Online AGOL"/>
    <x v="3"/>
  </r>
  <r>
    <x v="56"/>
    <s v="Electric GIS"/>
    <x v="3"/>
  </r>
  <r>
    <x v="57"/>
    <s v="EMMAx SAP Add-On in ECC"/>
    <x v="8"/>
  </r>
  <r>
    <x v="58"/>
    <s v="Fidelity"/>
    <x v="2"/>
  </r>
  <r>
    <x v="59"/>
    <s v="FieldNet Meter Reading System"/>
    <x v="3"/>
  </r>
  <r>
    <x v="60"/>
    <s v="FifthThird "/>
    <x v="1"/>
  </r>
  <r>
    <x v="61"/>
    <s v="FirstLogic Ace"/>
    <x v="6"/>
  </r>
  <r>
    <x v="62"/>
    <s v="Customer Payments Integration"/>
    <x v="18"/>
  </r>
  <r>
    <x v="63"/>
    <s v="FitPro"/>
    <x v="2"/>
  </r>
  <r>
    <x v="64"/>
    <s v="EDI Vendor"/>
    <x v="0"/>
  </r>
  <r>
    <x v="65"/>
    <s v="EDI Vendor"/>
    <x v="0"/>
  </r>
  <r>
    <x v="66"/>
    <s v="Fuelworx"/>
    <x v="3"/>
  </r>
  <r>
    <x v="67"/>
    <s v="Genesys"/>
    <x v="19"/>
  </r>
  <r>
    <x v="68"/>
    <s v="Geotab"/>
    <x v="3"/>
  </r>
  <r>
    <x v="69"/>
    <s v="GCC Supplier Integration (Not Testing)"/>
    <x v="4"/>
  </r>
  <r>
    <x v="70"/>
    <s v="EDI Vendor"/>
    <x v="0"/>
  </r>
  <r>
    <x v="71"/>
    <s v="GCC Supplier Integration (Not Testing)"/>
    <x v="4"/>
  </r>
  <r>
    <x v="72"/>
    <s v="GCC Supplier Integration (Not Testing)"/>
    <x v="4"/>
  </r>
  <r>
    <x v="73"/>
    <s v="Large Customer Rate Tool"/>
    <x v="8"/>
  </r>
  <r>
    <x v="74"/>
    <s v="Energy Usage Dashboard"/>
    <x v="17"/>
  </r>
  <r>
    <x v="75"/>
    <s v="EDI Vendor"/>
    <x v="0"/>
  </r>
  <r>
    <x v="76"/>
    <s v="EDI Vendor"/>
    <x v="0"/>
  </r>
  <r>
    <x v="77"/>
    <s v="3rd Party Contact Center "/>
    <x v="5"/>
  </r>
  <r>
    <x v="78"/>
    <s v="Customer Calling Vendor (dunning) Integration"/>
    <x v="18"/>
  </r>
  <r>
    <x v="79"/>
    <s v="Health Qualifications"/>
    <x v="2"/>
  </r>
  <r>
    <x v="80"/>
    <s v="eSOMS"/>
    <x v="3"/>
  </r>
  <r>
    <x v="80"/>
    <s v="SAP WAM eSOMS Interface"/>
    <x v="3"/>
  </r>
  <r>
    <x v="80"/>
    <s v="Service Suite"/>
    <x v="3"/>
  </r>
  <r>
    <x v="81"/>
    <s v="Customer Programs Integration"/>
    <x v="17"/>
  </r>
  <r>
    <x v="82"/>
    <s v="EDI Vendor"/>
    <x v="0"/>
  </r>
  <r>
    <x v="83"/>
    <s v="Smart Meter data Integration"/>
    <x v="3"/>
  </r>
  <r>
    <x v="84"/>
    <s v="GCC Supplier Integration (Not Testing)"/>
    <x v="4"/>
  </r>
  <r>
    <x v="85"/>
    <s v="GCON Property Restoration"/>
    <x v="3"/>
  </r>
  <r>
    <x v="86"/>
    <s v="GCC Supplier Integration (Not Testing)"/>
    <x v="4"/>
  </r>
  <r>
    <x v="87"/>
    <s v="UtiliSphere"/>
    <x v="3"/>
  </r>
  <r>
    <x v="88"/>
    <s v="ISIS"/>
    <x v="6"/>
  </r>
  <r>
    <x v="89"/>
    <s v="ISNetworld"/>
    <x v="0"/>
  </r>
  <r>
    <x v="90"/>
    <s v="Openway Collection Engine"/>
    <x v="3"/>
  </r>
  <r>
    <x v="90"/>
    <s v="OpenWay Collection Engine_x000a_Itron FCS_x000a_Openway FieldPro_x000a_MV-90"/>
    <x v="3"/>
  </r>
  <r>
    <x v="90"/>
    <s v="Itron FCS"/>
    <x v="3"/>
  </r>
  <r>
    <x v="90"/>
    <s v="MDM IEE"/>
    <x v="3"/>
  </r>
  <r>
    <x v="90"/>
    <s v="MVLTxi"/>
    <x v="3"/>
  </r>
  <r>
    <x v="90"/>
    <s v="Openway FieldPro"/>
    <x v="3"/>
  </r>
  <r>
    <x v="91"/>
    <s v="JDMS"/>
    <x v="2"/>
  </r>
  <r>
    <x v="92"/>
    <n v="0"/>
    <x v="1"/>
  </r>
  <r>
    <x v="93"/>
    <s v="GCC Supplier Integration (Not Testing)"/>
    <x v="4"/>
  </r>
  <r>
    <x v="94"/>
    <s v="Cideon"/>
    <x v="1"/>
  </r>
  <r>
    <x v="94"/>
    <s v="SAP RE-FX Facilities Space Management (KORASOFT)"/>
    <x v="3"/>
  </r>
  <r>
    <x v="95"/>
    <s v="GCC Supplier Integration (Not Testing)"/>
    <x v="4"/>
  </r>
  <r>
    <x v="96"/>
    <s v="2WCC"/>
    <x v="5"/>
  </r>
  <r>
    <x v="97"/>
    <s v="SAP Data Refresh - Libelle System Copy"/>
    <x v="6"/>
  </r>
  <r>
    <x v="98"/>
    <s v="Live Well 365"/>
    <x v="2"/>
  </r>
  <r>
    <x v="99"/>
    <s v="NCOA Integration"/>
    <x v="18"/>
  </r>
  <r>
    <x v="100"/>
    <s v="Magnit"/>
    <x v="2"/>
  </r>
  <r>
    <x v="101"/>
    <s v="Market Pay"/>
    <x v="2"/>
  </r>
  <r>
    <x v="102"/>
    <s v="GCC Supplier Integration (Not Testing)"/>
    <x v="4"/>
  </r>
  <r>
    <x v="103"/>
    <s v="GCC Supplier Integration (Not Testing)"/>
    <x v="4"/>
  </r>
  <r>
    <x v="104"/>
    <s v="GCC Supplier Integration (Not Testing)"/>
    <x v="4"/>
  </r>
  <r>
    <x v="105"/>
    <s v="COMET MS Dynamics"/>
    <x v="17"/>
  </r>
  <r>
    <x v="106"/>
    <s v="EDI Vendor"/>
    <x v="0"/>
  </r>
  <r>
    <x v="107"/>
    <s v="EDI Vendor"/>
    <x v="0"/>
  </r>
  <r>
    <x v="108"/>
    <s v="GCC Supplier Integration (Not Testing)"/>
    <x v="4"/>
  </r>
  <r>
    <x v="109"/>
    <s v="GCC Supplier Integration (Not Testing)"/>
    <x v="4"/>
  </r>
  <r>
    <x v="110"/>
    <s v="GCC Supplier Integration (Not Testing)"/>
    <x v="4"/>
  </r>
  <r>
    <x v="111"/>
    <s v="Onapsis Security Platform"/>
    <x v="6"/>
  </r>
  <r>
    <x v="112"/>
    <s v="ASP Integration"/>
    <x v="5"/>
  </r>
  <r>
    <x v="113"/>
    <s v="OneStream"/>
    <x v="1"/>
  </r>
  <r>
    <x v="114"/>
    <s v="VIM/IES VIM"/>
    <x v="1"/>
  </r>
  <r>
    <x v="115"/>
    <s v="Oracle Analytics Publisher"/>
    <x v="3"/>
  </r>
  <r>
    <x v="115"/>
    <s v="Oracle BI Publisher"/>
    <x v="3"/>
  </r>
  <r>
    <x v="115"/>
    <s v="Unifier"/>
    <x v="3"/>
  </r>
  <r>
    <x v="116"/>
    <s v="Paymentus"/>
    <x v="18"/>
  </r>
  <r>
    <x v="117"/>
    <s v="Polite Mail"/>
    <x v="2"/>
  </r>
  <r>
    <x v="118"/>
    <s v="EDI Vendor"/>
    <x v="0"/>
  </r>
  <r>
    <x v="119"/>
    <s v="My Energy Analyzer "/>
    <x v="17"/>
  </r>
  <r>
    <x v="120"/>
    <s v="Powerplan"/>
    <x v="1"/>
  </r>
  <r>
    <x v="121"/>
    <s v="GCC Supplier Integration (Not Testing)"/>
    <x v="4"/>
  </r>
  <r>
    <x v="122"/>
    <s v="Qualtrics"/>
    <x v="2"/>
  </r>
  <r>
    <x v="123"/>
    <s v="Quorum"/>
    <x v="2"/>
  </r>
  <r>
    <x v="124"/>
    <s v="SNAP"/>
    <x v="3"/>
  </r>
  <r>
    <x v="125"/>
    <s v="Redwood Job Scheduling"/>
    <x v="6"/>
  </r>
  <r>
    <x v="126"/>
    <s v="GCC Supplier Integration (Not Testing)"/>
    <x v="4"/>
  </r>
  <r>
    <x v="127"/>
    <s v="Communication management Integration"/>
    <x v="5"/>
  </r>
  <r>
    <x v="128"/>
    <n v="0"/>
    <x v="1"/>
  </r>
  <r>
    <x v="129"/>
    <s v="Saba Org Planning"/>
    <x v="2"/>
  </r>
  <r>
    <x v="130"/>
    <s v="GetThere"/>
    <x v="1"/>
  </r>
  <r>
    <x v="131"/>
    <s v="PowerMI Drive Integration"/>
    <x v="17"/>
  </r>
  <r>
    <x v="132"/>
    <s v="GCC Supplier Integration (Not Testing)"/>
    <x v="4"/>
  </r>
  <r>
    <x v="133"/>
    <s v="SAP Callidus/BCC"/>
    <x v="2"/>
  </r>
  <r>
    <x v="134"/>
    <s v="LMS"/>
    <x v="2"/>
  </r>
  <r>
    <x v="134"/>
    <s v="Recruiting"/>
    <x v="2"/>
  </r>
  <r>
    <x v="135"/>
    <s v="Goals &amp; Performance"/>
    <x v="2"/>
  </r>
  <r>
    <x v="135"/>
    <s v="Talent Management"/>
    <x v="2"/>
  </r>
  <r>
    <x v="135"/>
    <s v="Onboarding"/>
    <x v="2"/>
  </r>
  <r>
    <x v="136"/>
    <s v="Saviynt"/>
    <x v="6"/>
  </r>
  <r>
    <x v="137"/>
    <s v="Service Now Service Now HR"/>
    <x v="2"/>
  </r>
  <r>
    <x v="138"/>
    <s v="ServiceNow"/>
    <x v="0"/>
  </r>
  <r>
    <x v="139"/>
    <s v="Seniority"/>
    <x v="2"/>
  </r>
  <r>
    <x v="139"/>
    <s v="Grievance"/>
    <x v="2"/>
  </r>
  <r>
    <x v="139"/>
    <s v="Job Bidding"/>
    <x v="2"/>
  </r>
  <r>
    <x v="140"/>
    <s v="GCC Supplier Integration (Not Testing)"/>
    <x v="4"/>
  </r>
  <r>
    <x v="141"/>
    <s v="ECC Supplier Integration (Not Testing)"/>
    <x v="8"/>
  </r>
  <r>
    <x v="142"/>
    <s v="CCC Surveys Integration"/>
    <x v="5"/>
  </r>
  <r>
    <x v="143"/>
    <s v="LIHEAP Payments (CA_INT_140) Integration"/>
    <x v="18"/>
  </r>
  <r>
    <x v="143"/>
    <s v="EDI Payment Consolidators P&amp;C EDIs"/>
    <x v="2"/>
  </r>
  <r>
    <x v="144"/>
    <s v="GCC Supplier Integration (Not Testing)"/>
    <x v="4"/>
  </r>
  <r>
    <x v="145"/>
    <s v="PRONTO"/>
    <x v="3"/>
  </r>
  <r>
    <x v="146"/>
    <s v="TaxPort"/>
    <x v="2"/>
  </r>
  <r>
    <x v="147"/>
    <s v="Customer Payments (CA_INT_240) Integration"/>
    <x v="18"/>
  </r>
  <r>
    <x v="148"/>
    <s v="Trovata "/>
    <x v="1"/>
  </r>
  <r>
    <x v="149"/>
    <s v="Impress"/>
    <x v="3"/>
  </r>
  <r>
    <x v="150"/>
    <s v="UI Planner Forecasing UI Planner"/>
    <x v="1"/>
  </r>
  <r>
    <x v="150"/>
    <s v="UI Budget &amp; Planning"/>
    <x v="1"/>
  </r>
  <r>
    <x v="151"/>
    <s v="Calero"/>
    <x v="1"/>
  </r>
  <r>
    <x v="152"/>
    <s v="Support Vendor for Genesys Platform "/>
    <x v="19"/>
  </r>
  <r>
    <x v="153"/>
    <s v="Click to Chat-Texting from IVR Integration"/>
    <x v="5"/>
  </r>
  <r>
    <x v="154"/>
    <s v="ECC Supplier Integration (Not Testing)"/>
    <x v="8"/>
  </r>
  <r>
    <x v="155"/>
    <s v="PowerAdvocate"/>
    <x v="0"/>
  </r>
  <r>
    <x v="156"/>
    <s v="Workiva"/>
    <x v="1"/>
  </r>
  <r>
    <x v="157"/>
    <s v="Workshop"/>
    <x v="2"/>
  </r>
  <r>
    <x v="158"/>
    <s v="GCC Supplier Integration (Not Testing)"/>
    <x v="4"/>
  </r>
  <r>
    <x v="159"/>
    <m/>
    <x v="7"/>
  </r>
  <r>
    <x v="159"/>
    <m/>
    <x v="7"/>
  </r>
  <r>
    <x v="159"/>
    <m/>
    <x v="7"/>
  </r>
  <r>
    <x v="159"/>
    <m/>
    <x v="7"/>
  </r>
  <r>
    <x v="159"/>
    <m/>
    <x v="7"/>
  </r>
  <r>
    <x v="159"/>
    <m/>
    <x v="7"/>
  </r>
  <r>
    <x v="159"/>
    <m/>
    <x v="7"/>
  </r>
  <r>
    <x v="159"/>
    <m/>
    <x v="7"/>
  </r>
  <r>
    <x v="159"/>
    <m/>
    <x v="7"/>
  </r>
  <r>
    <x v="160"/>
    <m/>
    <x v="7"/>
  </r>
  <r>
    <x v="161"/>
    <m/>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79A1C4-C507-4E2C-87EE-3FBFEDD68E15}" name="PivotTable2" cacheId="6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8" firstHeaderRow="1" firstDataRow="1" firstDataCol="1"/>
  <pivotFields count="17">
    <pivotField dataField="1" showAll="0"/>
    <pivotField axis="axisRow" showAll="0">
      <items count="144">
        <item x="12"/>
        <item x="9"/>
        <item x="70"/>
        <item x="37"/>
        <item x="94"/>
        <item x="125"/>
        <item x="126"/>
        <item x="127"/>
        <item x="42"/>
        <item x="130"/>
        <item x="131"/>
        <item x="132"/>
        <item x="106"/>
        <item x="39"/>
        <item x="13"/>
        <item x="71"/>
        <item x="97"/>
        <item x="98"/>
        <item x="99"/>
        <item x="100"/>
        <item x="101"/>
        <item x="108"/>
        <item x="102"/>
        <item x="57"/>
        <item x="44"/>
        <item x="72"/>
        <item x="0"/>
        <item x="49"/>
        <item x="133"/>
        <item x="7"/>
        <item x="52"/>
        <item x="45"/>
        <item x="41"/>
        <item x="11"/>
        <item x="29"/>
        <item x="46"/>
        <item x="14"/>
        <item x="10"/>
        <item x="73"/>
        <item x="112"/>
        <item x="32"/>
        <item x="31"/>
        <item x="35"/>
        <item x="22"/>
        <item x="74"/>
        <item x="142"/>
        <item x="75"/>
        <item x="2"/>
        <item x="4"/>
        <item x="3"/>
        <item x="95"/>
        <item x="134"/>
        <item x="5"/>
        <item x="21"/>
        <item x="76"/>
        <item x="115"/>
        <item x="109"/>
        <item x="20"/>
        <item x="6"/>
        <item x="77"/>
        <item x="113"/>
        <item x="47"/>
        <item x="58"/>
        <item x="78"/>
        <item x="38"/>
        <item x="124"/>
        <item x="140"/>
        <item x="128"/>
        <item x="27"/>
        <item x="107"/>
        <item x="25"/>
        <item x="135"/>
        <item x="50"/>
        <item x="66"/>
        <item x="87"/>
        <item x="19"/>
        <item x="123"/>
        <item x="60"/>
        <item x="96"/>
        <item x="117"/>
        <item x="8"/>
        <item x="63"/>
        <item x="88"/>
        <item x="129"/>
        <item x="1"/>
        <item x="34"/>
        <item x="79"/>
        <item x="64"/>
        <item x="80"/>
        <item x="81"/>
        <item x="118"/>
        <item x="103"/>
        <item x="119"/>
        <item x="23"/>
        <item x="16"/>
        <item x="56"/>
        <item x="68"/>
        <item x="53"/>
        <item x="104"/>
        <item x="105"/>
        <item x="138"/>
        <item x="120"/>
        <item x="121"/>
        <item x="33"/>
        <item x="114"/>
        <item x="91"/>
        <item x="92"/>
        <item x="15"/>
        <item x="24"/>
        <item x="55"/>
        <item x="139"/>
        <item x="82"/>
        <item x="83"/>
        <item x="65"/>
        <item x="62"/>
        <item x="28"/>
        <item x="84"/>
        <item x="85"/>
        <item x="59"/>
        <item x="61"/>
        <item x="141"/>
        <item x="116"/>
        <item x="86"/>
        <item x="69"/>
        <item x="136"/>
        <item x="93"/>
        <item x="110"/>
        <item x="111"/>
        <item x="30"/>
        <item x="17"/>
        <item x="18"/>
        <item x="26"/>
        <item x="67"/>
        <item x="89"/>
        <item x="48"/>
        <item x="43"/>
        <item x="51"/>
        <item x="122"/>
        <item x="137"/>
        <item x="54"/>
        <item x="36"/>
        <item x="90"/>
        <item x="40"/>
        <item t="default"/>
      </items>
    </pivotField>
    <pivotField showAll="0">
      <items count="112">
        <item x="7"/>
        <item x="39"/>
        <item x="63"/>
        <item x="93"/>
        <item x="94"/>
        <item x="95"/>
        <item x="98"/>
        <item x="99"/>
        <item x="100"/>
        <item x="75"/>
        <item x="40"/>
        <item x="66"/>
        <item x="67"/>
        <item x="68"/>
        <item x="69"/>
        <item x="70"/>
        <item x="77"/>
        <item x="71"/>
        <item x="26"/>
        <item x="13"/>
        <item x="41"/>
        <item x="0"/>
        <item x="18"/>
        <item x="101"/>
        <item x="21"/>
        <item x="15"/>
        <item x="42"/>
        <item x="80"/>
        <item x="43"/>
        <item x="110"/>
        <item x="44"/>
        <item x="64"/>
        <item x="102"/>
        <item x="9"/>
        <item x="45"/>
        <item x="83"/>
        <item x="78"/>
        <item x="4"/>
        <item x="46"/>
        <item x="81"/>
        <item x="27"/>
        <item x="47"/>
        <item x="14"/>
        <item x="92"/>
        <item x="108"/>
        <item x="96"/>
        <item x="76"/>
        <item x="10"/>
        <item x="103"/>
        <item x="19"/>
        <item x="35"/>
        <item x="56"/>
        <item x="91"/>
        <item x="2"/>
        <item x="29"/>
        <item x="65"/>
        <item x="85"/>
        <item x="32"/>
        <item x="57"/>
        <item x="97"/>
        <item x="1"/>
        <item x="48"/>
        <item x="33"/>
        <item x="49"/>
        <item x="50"/>
        <item x="86"/>
        <item x="72"/>
        <item x="8"/>
        <item x="87"/>
        <item x="17"/>
        <item x="6"/>
        <item x="25"/>
        <item x="37"/>
        <item x="22"/>
        <item x="73"/>
        <item x="74"/>
        <item x="106"/>
        <item x="88"/>
        <item x="89"/>
        <item x="11"/>
        <item x="82"/>
        <item x="60"/>
        <item x="61"/>
        <item x="24"/>
        <item x="107"/>
        <item x="51"/>
        <item x="52"/>
        <item x="34"/>
        <item x="31"/>
        <item x="53"/>
        <item x="3"/>
        <item x="54"/>
        <item x="28"/>
        <item x="30"/>
        <item x="109"/>
        <item x="84"/>
        <item x="55"/>
        <item x="38"/>
        <item x="104"/>
        <item x="62"/>
        <item x="79"/>
        <item x="36"/>
        <item x="58"/>
        <item x="16"/>
        <item x="20"/>
        <item x="90"/>
        <item x="105"/>
        <item x="23"/>
        <item x="12"/>
        <item x="59"/>
        <item x="5"/>
        <item t="default"/>
      </items>
    </pivotField>
    <pivotField showAll="0"/>
    <pivotField axis="axisRow" showAll="0">
      <items count="12">
        <item x="0"/>
        <item x="2"/>
        <item x="1"/>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
  </rowFields>
  <rowItems count="155">
    <i>
      <x/>
    </i>
    <i r="1">
      <x v="26"/>
    </i>
    <i r="1">
      <x v="45"/>
    </i>
    <i r="1">
      <x v="47"/>
    </i>
    <i r="1">
      <x v="48"/>
    </i>
    <i r="1">
      <x v="49"/>
    </i>
    <i r="1">
      <x v="52"/>
    </i>
    <i r="1">
      <x v="58"/>
    </i>
    <i>
      <x v="1"/>
    </i>
    <i r="1">
      <x/>
    </i>
    <i r="1">
      <x v="1"/>
    </i>
    <i r="1">
      <x v="14"/>
    </i>
    <i r="1">
      <x v="29"/>
    </i>
    <i r="1">
      <x v="33"/>
    </i>
    <i r="1">
      <x v="37"/>
    </i>
    <i r="1">
      <x v="80"/>
    </i>
    <i>
      <x v="2"/>
    </i>
    <i r="1">
      <x v="36"/>
    </i>
    <i r="1">
      <x v="43"/>
    </i>
    <i r="1">
      <x v="53"/>
    </i>
    <i r="1">
      <x v="57"/>
    </i>
    <i r="1">
      <x v="75"/>
    </i>
    <i r="1">
      <x v="84"/>
    </i>
    <i r="1">
      <x v="93"/>
    </i>
    <i r="1">
      <x v="94"/>
    </i>
    <i r="1">
      <x v="107"/>
    </i>
    <i r="1">
      <x v="108"/>
    </i>
    <i r="1">
      <x v="129"/>
    </i>
    <i r="1">
      <x v="130"/>
    </i>
    <i>
      <x v="3"/>
    </i>
    <i r="1">
      <x v="70"/>
    </i>
    <i r="1">
      <x v="131"/>
    </i>
    <i>
      <x v="4"/>
    </i>
    <i r="1">
      <x v="68"/>
    </i>
    <i>
      <x v="5"/>
    </i>
    <i r="1">
      <x v="34"/>
    </i>
    <i r="1">
      <x v="40"/>
    </i>
    <i r="1">
      <x v="41"/>
    </i>
    <i r="1">
      <x v="42"/>
    </i>
    <i r="1">
      <x v="85"/>
    </i>
    <i r="1">
      <x v="103"/>
    </i>
    <i r="1">
      <x v="115"/>
    </i>
    <i r="1">
      <x v="128"/>
    </i>
    <i>
      <x v="6"/>
    </i>
    <i r="1">
      <x v="3"/>
    </i>
    <i r="1">
      <x v="8"/>
    </i>
    <i r="1">
      <x v="13"/>
    </i>
    <i r="1">
      <x v="24"/>
    </i>
    <i r="1">
      <x v="27"/>
    </i>
    <i r="1">
      <x v="30"/>
    </i>
    <i r="1">
      <x v="31"/>
    </i>
    <i r="1">
      <x v="32"/>
    </i>
    <i r="1">
      <x v="35"/>
    </i>
    <i r="1">
      <x v="61"/>
    </i>
    <i r="1">
      <x v="64"/>
    </i>
    <i r="1">
      <x v="72"/>
    </i>
    <i r="1">
      <x v="97"/>
    </i>
    <i r="1">
      <x v="109"/>
    </i>
    <i r="1">
      <x v="134"/>
    </i>
    <i r="1">
      <x v="135"/>
    </i>
    <i r="1">
      <x v="136"/>
    </i>
    <i r="1">
      <x v="139"/>
    </i>
    <i r="1">
      <x v="140"/>
    </i>
    <i r="1">
      <x v="142"/>
    </i>
    <i>
      <x v="7"/>
    </i>
    <i r="1">
      <x v="23"/>
    </i>
    <i r="1">
      <x v="62"/>
    </i>
    <i r="1">
      <x v="77"/>
    </i>
    <i r="1">
      <x v="95"/>
    </i>
    <i r="1">
      <x v="114"/>
    </i>
    <i r="1">
      <x v="118"/>
    </i>
    <i r="1">
      <x v="119"/>
    </i>
    <i>
      <x v="8"/>
    </i>
    <i r="1">
      <x v="2"/>
    </i>
    <i r="1">
      <x v="15"/>
    </i>
    <i r="1">
      <x v="25"/>
    </i>
    <i r="1">
      <x v="38"/>
    </i>
    <i r="1">
      <x v="44"/>
    </i>
    <i r="1">
      <x v="46"/>
    </i>
    <i r="1">
      <x v="54"/>
    </i>
    <i r="1">
      <x v="59"/>
    </i>
    <i r="1">
      <x v="63"/>
    </i>
    <i r="1">
      <x v="73"/>
    </i>
    <i r="1">
      <x v="74"/>
    </i>
    <i r="1">
      <x v="81"/>
    </i>
    <i r="1">
      <x v="82"/>
    </i>
    <i r="1">
      <x v="86"/>
    </i>
    <i r="1">
      <x v="87"/>
    </i>
    <i r="1">
      <x v="88"/>
    </i>
    <i r="1">
      <x v="89"/>
    </i>
    <i r="1">
      <x v="96"/>
    </i>
    <i r="1">
      <x v="105"/>
    </i>
    <i r="1">
      <x v="111"/>
    </i>
    <i r="1">
      <x v="112"/>
    </i>
    <i r="1">
      <x v="113"/>
    </i>
    <i r="1">
      <x v="116"/>
    </i>
    <i r="1">
      <x v="117"/>
    </i>
    <i r="1">
      <x v="122"/>
    </i>
    <i r="1">
      <x v="123"/>
    </i>
    <i r="1">
      <x v="132"/>
    </i>
    <i r="1">
      <x v="133"/>
    </i>
    <i r="1">
      <x v="141"/>
    </i>
    <i>
      <x v="9"/>
    </i>
    <i r="1">
      <x v="4"/>
    </i>
    <i r="1">
      <x v="50"/>
    </i>
    <i r="1">
      <x v="78"/>
    </i>
    <i r="1">
      <x v="106"/>
    </i>
    <i r="1">
      <x v="125"/>
    </i>
    <i>
      <x v="10"/>
    </i>
    <i r="1">
      <x v="5"/>
    </i>
    <i r="1">
      <x v="6"/>
    </i>
    <i r="1">
      <x v="7"/>
    </i>
    <i r="1">
      <x v="9"/>
    </i>
    <i r="1">
      <x v="10"/>
    </i>
    <i r="1">
      <x v="11"/>
    </i>
    <i r="1">
      <x v="12"/>
    </i>
    <i r="1">
      <x v="16"/>
    </i>
    <i r="1">
      <x v="17"/>
    </i>
    <i r="1">
      <x v="18"/>
    </i>
    <i r="1">
      <x v="19"/>
    </i>
    <i r="1">
      <x v="20"/>
    </i>
    <i r="1">
      <x v="21"/>
    </i>
    <i r="1">
      <x v="22"/>
    </i>
    <i r="1">
      <x v="28"/>
    </i>
    <i r="1">
      <x v="39"/>
    </i>
    <i r="1">
      <x v="51"/>
    </i>
    <i r="1">
      <x v="55"/>
    </i>
    <i r="1">
      <x v="56"/>
    </i>
    <i r="1">
      <x v="60"/>
    </i>
    <i r="1">
      <x v="65"/>
    </i>
    <i r="1">
      <x v="66"/>
    </i>
    <i r="1">
      <x v="67"/>
    </i>
    <i r="1">
      <x v="69"/>
    </i>
    <i r="1">
      <x v="71"/>
    </i>
    <i r="1">
      <x v="76"/>
    </i>
    <i r="1">
      <x v="79"/>
    </i>
    <i r="1">
      <x v="83"/>
    </i>
    <i r="1">
      <x v="90"/>
    </i>
    <i r="1">
      <x v="91"/>
    </i>
    <i r="1">
      <x v="92"/>
    </i>
    <i r="1">
      <x v="98"/>
    </i>
    <i r="1">
      <x v="99"/>
    </i>
    <i r="1">
      <x v="100"/>
    </i>
    <i r="1">
      <x v="101"/>
    </i>
    <i r="1">
      <x v="102"/>
    </i>
    <i r="1">
      <x v="104"/>
    </i>
    <i r="1">
      <x v="110"/>
    </i>
    <i r="1">
      <x v="120"/>
    </i>
    <i r="1">
      <x v="121"/>
    </i>
    <i r="1">
      <x v="124"/>
    </i>
    <i r="1">
      <x v="126"/>
    </i>
    <i r="1">
      <x v="127"/>
    </i>
    <i r="1">
      <x v="137"/>
    </i>
    <i r="1">
      <x v="138"/>
    </i>
    <i t="grand">
      <x/>
    </i>
  </rowItems>
  <colItems count="1">
    <i/>
  </colItems>
  <dataFields count="1">
    <dataField name="Count of Vendo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32D31B-9759-48CC-B5CB-4778A72C5897}" name="PivotTable2" cacheId="6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58" firstHeaderRow="1" firstDataRow="1" firstDataCol="1"/>
  <pivotFields count="22">
    <pivotField showAll="0"/>
    <pivotField showAll="0"/>
    <pivotField showAll="0"/>
    <pivotField showAll="0"/>
    <pivotField axis="axisRow" showAll="0">
      <items count="12">
        <item x="0"/>
        <item x="2"/>
        <item x="1"/>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1">
        <item x="6"/>
        <item m="1" x="9"/>
        <item x="4"/>
        <item x="1"/>
        <item x="3"/>
        <item m="1" x="8"/>
        <item x="5"/>
        <item x="0"/>
        <item x="2"/>
        <item x="7"/>
        <item t="default"/>
      </items>
    </pivotField>
    <pivotField showAll="0"/>
  </pivotFields>
  <rowFields count="2">
    <field x="4"/>
    <field x="20"/>
  </rowFields>
  <rowItems count="55">
    <i>
      <x/>
    </i>
    <i r="1">
      <x v="2"/>
    </i>
    <i r="1">
      <x v="3"/>
    </i>
    <i r="1">
      <x v="4"/>
    </i>
    <i r="1">
      <x v="7"/>
    </i>
    <i r="1">
      <x v="8"/>
    </i>
    <i>
      <x v="1"/>
    </i>
    <i r="1">
      <x v="2"/>
    </i>
    <i r="1">
      <x v="4"/>
    </i>
    <i r="1">
      <x v="7"/>
    </i>
    <i r="1">
      <x v="8"/>
    </i>
    <i>
      <x v="2"/>
    </i>
    <i r="1">
      <x v="2"/>
    </i>
    <i r="1">
      <x v="3"/>
    </i>
    <i r="1">
      <x v="4"/>
    </i>
    <i r="1">
      <x v="7"/>
    </i>
    <i r="1">
      <x v="8"/>
    </i>
    <i>
      <x v="3"/>
    </i>
    <i r="1">
      <x v="2"/>
    </i>
    <i r="1">
      <x v="6"/>
    </i>
    <i>
      <x v="4"/>
    </i>
    <i r="1">
      <x v="4"/>
    </i>
    <i>
      <x v="5"/>
    </i>
    <i r="1">
      <x v="3"/>
    </i>
    <i r="1">
      <x v="4"/>
    </i>
    <i r="1">
      <x v="7"/>
    </i>
    <i>
      <x v="6"/>
    </i>
    <i r="1">
      <x/>
    </i>
    <i r="1">
      <x v="2"/>
    </i>
    <i r="1">
      <x v="3"/>
    </i>
    <i r="1">
      <x v="4"/>
    </i>
    <i r="1">
      <x v="7"/>
    </i>
    <i r="1">
      <x v="9"/>
    </i>
    <i>
      <x v="7"/>
    </i>
    <i r="1">
      <x v="2"/>
    </i>
    <i r="1">
      <x v="3"/>
    </i>
    <i r="1">
      <x v="4"/>
    </i>
    <i r="1">
      <x v="7"/>
    </i>
    <i r="1">
      <x v="8"/>
    </i>
    <i>
      <x v="8"/>
    </i>
    <i r="1">
      <x v="2"/>
    </i>
    <i r="1">
      <x v="3"/>
    </i>
    <i r="1">
      <x v="4"/>
    </i>
    <i r="1">
      <x v="6"/>
    </i>
    <i r="1">
      <x v="7"/>
    </i>
    <i r="1">
      <x v="8"/>
    </i>
    <i>
      <x v="9"/>
    </i>
    <i r="1">
      <x v="3"/>
    </i>
    <i r="1">
      <x v="4"/>
    </i>
    <i>
      <x v="10"/>
    </i>
    <i r="1">
      <x v="2"/>
    </i>
    <i r="1">
      <x v="3"/>
    </i>
    <i r="1">
      <x v="4"/>
    </i>
    <i r="1">
      <x v="7"/>
    </i>
    <i t="grand">
      <x/>
    </i>
  </rowItems>
  <colItems count="1">
    <i/>
  </colItems>
  <dataFields count="1">
    <dataField name="Count of Estimated Cost" fld="14" subtotal="count" baseField="20"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D961DA-C7B7-422A-9141-E4CB86C4357B}" name="PivotTable1" cacheId="6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2">
    <pivotField showAll="0"/>
    <pivotField showAll="0"/>
    <pivotField showAll="0"/>
    <pivotField showAll="0"/>
    <pivotField axis="axisRow" showAll="0">
      <items count="12">
        <item sd="0" x="0"/>
        <item sd="0" x="2"/>
        <item sd="0" x="1"/>
        <item sd="0" x="3"/>
        <item sd="0" x="4"/>
        <item sd="0" x="5"/>
        <item sd="0" x="6"/>
        <item sd="0" x="7"/>
        <item sd="0" x="8"/>
        <item sd="0" x="9"/>
        <item sd="0" x="1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1">
        <item x="6"/>
        <item m="1" x="9"/>
        <item x="4"/>
        <item x="1"/>
        <item x="3"/>
        <item m="1" x="8"/>
        <item x="5"/>
        <item x="0"/>
        <item x="2"/>
        <item x="7"/>
        <item t="default"/>
      </items>
    </pivotField>
    <pivotField showAll="0"/>
  </pivotFields>
  <rowFields count="2">
    <field x="4"/>
    <field x="20"/>
  </rowFields>
  <rowItems count="12">
    <i>
      <x/>
    </i>
    <i>
      <x v="1"/>
    </i>
    <i>
      <x v="2"/>
    </i>
    <i>
      <x v="3"/>
    </i>
    <i>
      <x v="4"/>
    </i>
    <i>
      <x v="5"/>
    </i>
    <i>
      <x v="6"/>
    </i>
    <i>
      <x v="7"/>
    </i>
    <i>
      <x v="8"/>
    </i>
    <i>
      <x v="9"/>
    </i>
    <i>
      <x v="10"/>
    </i>
    <i t="grand">
      <x/>
    </i>
  </rowItems>
  <colItems count="1">
    <i/>
  </colItems>
  <dataFields count="1">
    <dataField name="Sum of Estimated Cost" fld="14"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38A094-5DA0-416F-932E-DA1859A12ED6}" name="PivotTable3" cacheId="6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75" firstHeaderRow="1" firstDataRow="1" firstDataCol="1"/>
  <pivotFields count="22">
    <pivotField axis="axisRow" showAll="0">
      <items count="160">
        <item x="51"/>
        <item x="121"/>
        <item x="68"/>
        <item x="98"/>
        <item x="82"/>
        <item x="120"/>
        <item x="122"/>
        <item x="72"/>
        <item x="139"/>
        <item x="33"/>
        <item x="69"/>
        <item x="146"/>
        <item x="99"/>
        <item x="14"/>
        <item x="90"/>
        <item x="74"/>
        <item x="137"/>
        <item x="0"/>
        <item x="34"/>
        <item x="88"/>
        <item x="67"/>
        <item x="123"/>
        <item x="22"/>
        <item x="100"/>
        <item x="71"/>
        <item x="3"/>
        <item x="2"/>
        <item x="26"/>
        <item x="124"/>
        <item x="75"/>
        <item x="30"/>
        <item x="35"/>
        <item x="24"/>
        <item x="25"/>
        <item x="150"/>
        <item x="4"/>
        <item x="76"/>
        <item x="101"/>
        <item x="5"/>
        <item x="6"/>
        <item x="125"/>
        <item x="144"/>
        <item x="102"/>
        <item x="59"/>
        <item x="157"/>
        <item x="103"/>
        <item x="60"/>
        <item x="17"/>
        <item x="36"/>
        <item x="7"/>
        <item x="37"/>
        <item x="152"/>
        <item x="38"/>
        <item x="8"/>
        <item x="141"/>
        <item x="23"/>
        <item x="12"/>
        <item x="104"/>
        <item x="126"/>
        <item x="151"/>
        <item x="11"/>
        <item x="105"/>
        <item x="145"/>
        <item x="77"/>
        <item x="89"/>
        <item x="61"/>
        <item x="106"/>
        <item x="127"/>
        <item x="128"/>
        <item x="156"/>
        <item x="31"/>
        <item x="153"/>
        <item x="39"/>
        <item x="129"/>
        <item x="40"/>
        <item x="41"/>
        <item x="1"/>
        <item x="130"/>
        <item x="131"/>
        <item x="15"/>
        <item x="62"/>
        <item x="158"/>
        <item x="147"/>
        <item x="28"/>
        <item x="132"/>
        <item x="142"/>
        <item x="42"/>
        <item x="140"/>
        <item x="43"/>
        <item x="154"/>
        <item x="91"/>
        <item x="136"/>
        <item x="138"/>
        <item x="94"/>
        <item x="78"/>
        <item x="44"/>
        <item x="83"/>
        <item x="45"/>
        <item x="18"/>
        <item x="92"/>
        <item x="107"/>
        <item x="58"/>
        <item x="108"/>
        <item x="109"/>
        <item x="46"/>
        <item x="47"/>
        <item x="48"/>
        <item x="20"/>
        <item x="133"/>
        <item x="134"/>
        <item x="49"/>
        <item x="50"/>
        <item x="87"/>
        <item x="19"/>
        <item x="84"/>
        <item x="85"/>
        <item x="148"/>
        <item x="63"/>
        <item x="117"/>
        <item x="135"/>
        <item x="29"/>
        <item x="86"/>
        <item x="52"/>
        <item x="110"/>
        <item x="111"/>
        <item x="143"/>
        <item x="93"/>
        <item x="53"/>
        <item x="16"/>
        <item x="70"/>
        <item x="112"/>
        <item x="81"/>
        <item x="21"/>
        <item x="54"/>
        <item x="113"/>
        <item x="95"/>
        <item x="96"/>
        <item x="97"/>
        <item x="119"/>
        <item x="114"/>
        <item x="55"/>
        <item x="9"/>
        <item x="13"/>
        <item x="64"/>
        <item x="56"/>
        <item x="155"/>
        <item x="115"/>
        <item x="65"/>
        <item x="79"/>
        <item x="149"/>
        <item x="27"/>
        <item x="73"/>
        <item x="80"/>
        <item x="32"/>
        <item x="10"/>
        <item x="118"/>
        <item x="66"/>
        <item x="116"/>
        <item x="57"/>
        <item t="default"/>
      </items>
    </pivotField>
    <pivotField showAll="0"/>
    <pivotField showAll="0"/>
    <pivotField showAll="0"/>
    <pivotField axis="axisRow" showAll="0">
      <items count="12">
        <item x="0"/>
        <item x="2"/>
        <item x="1"/>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1">
        <item x="6"/>
        <item m="1" x="9"/>
        <item x="4"/>
        <item x="1"/>
        <item x="3"/>
        <item m="1" x="8"/>
        <item x="5"/>
        <item x="0"/>
        <item x="2"/>
        <item x="7"/>
        <item t="default"/>
      </items>
    </pivotField>
    <pivotField showAll="0"/>
  </pivotFields>
  <rowFields count="2">
    <field x="4"/>
    <field x="0"/>
  </rowFields>
  <rowItems count="172">
    <i>
      <x/>
    </i>
    <i r="1">
      <x v="17"/>
    </i>
    <i r="1">
      <x v="25"/>
    </i>
    <i r="1">
      <x v="26"/>
    </i>
    <i r="1">
      <x v="35"/>
    </i>
    <i r="1">
      <x v="38"/>
    </i>
    <i r="1">
      <x v="39"/>
    </i>
    <i r="1">
      <x v="44"/>
    </i>
    <i r="1">
      <x v="49"/>
    </i>
    <i r="1">
      <x v="53"/>
    </i>
    <i r="1">
      <x v="56"/>
    </i>
    <i r="1">
      <x v="60"/>
    </i>
    <i r="1">
      <x v="141"/>
    </i>
    <i r="1">
      <x v="154"/>
    </i>
    <i>
      <x v="1"/>
    </i>
    <i r="1">
      <x v="13"/>
    </i>
    <i r="1">
      <x v="47"/>
    </i>
    <i r="1">
      <x v="79"/>
    </i>
    <i r="1">
      <x v="98"/>
    </i>
    <i r="1">
      <x v="113"/>
    </i>
    <i r="1">
      <x v="128"/>
    </i>
    <i r="1">
      <x v="142"/>
    </i>
    <i>
      <x v="2"/>
    </i>
    <i r="1">
      <x v="22"/>
    </i>
    <i r="1">
      <x v="27"/>
    </i>
    <i r="1">
      <x v="30"/>
    </i>
    <i r="1">
      <x v="32"/>
    </i>
    <i r="1">
      <x v="33"/>
    </i>
    <i r="1">
      <x v="55"/>
    </i>
    <i r="1">
      <x v="76"/>
    </i>
    <i r="1">
      <x v="83"/>
    </i>
    <i r="1">
      <x v="107"/>
    </i>
    <i r="1">
      <x v="120"/>
    </i>
    <i r="1">
      <x v="132"/>
    </i>
    <i r="1">
      <x v="150"/>
    </i>
    <i>
      <x v="3"/>
    </i>
    <i r="1">
      <x v="70"/>
    </i>
    <i r="1">
      <x v="153"/>
    </i>
    <i>
      <x v="4"/>
    </i>
    <i r="1">
      <x/>
    </i>
    <i r="1">
      <x v="9"/>
    </i>
    <i r="1">
      <x v="18"/>
    </i>
    <i r="1">
      <x v="31"/>
    </i>
    <i r="1">
      <x v="48"/>
    </i>
    <i r="1">
      <x v="50"/>
    </i>
    <i r="1">
      <x v="52"/>
    </i>
    <i r="1">
      <x v="72"/>
    </i>
    <i r="1">
      <x v="74"/>
    </i>
    <i r="1">
      <x v="75"/>
    </i>
    <i r="1">
      <x v="86"/>
    </i>
    <i r="1">
      <x v="88"/>
    </i>
    <i r="1">
      <x v="95"/>
    </i>
    <i r="1">
      <x v="97"/>
    </i>
    <i r="1">
      <x v="104"/>
    </i>
    <i r="1">
      <x v="105"/>
    </i>
    <i r="1">
      <x v="106"/>
    </i>
    <i r="1">
      <x v="110"/>
    </i>
    <i r="1">
      <x v="111"/>
    </i>
    <i r="1">
      <x v="122"/>
    </i>
    <i r="1">
      <x v="127"/>
    </i>
    <i r="1">
      <x v="133"/>
    </i>
    <i r="1">
      <x v="140"/>
    </i>
    <i r="1">
      <x v="144"/>
    </i>
    <i r="1">
      <x v="158"/>
    </i>
    <i>
      <x v="5"/>
    </i>
    <i r="1">
      <x v="43"/>
    </i>
    <i r="1">
      <x v="46"/>
    </i>
    <i r="1">
      <x v="65"/>
    </i>
    <i r="1">
      <x v="80"/>
    </i>
    <i r="1">
      <x v="101"/>
    </i>
    <i r="1">
      <x v="117"/>
    </i>
    <i r="1">
      <x v="143"/>
    </i>
    <i r="1">
      <x v="147"/>
    </i>
    <i>
      <x v="6"/>
    </i>
    <i r="1">
      <x v="2"/>
    </i>
    <i r="1">
      <x v="4"/>
    </i>
    <i r="1">
      <x v="7"/>
    </i>
    <i r="1">
      <x v="10"/>
    </i>
    <i r="1">
      <x v="15"/>
    </i>
    <i r="1">
      <x v="20"/>
    </i>
    <i r="1">
      <x v="24"/>
    </i>
    <i r="1">
      <x v="29"/>
    </i>
    <i r="1">
      <x v="36"/>
    </i>
    <i r="1">
      <x v="63"/>
    </i>
    <i r="1">
      <x v="94"/>
    </i>
    <i r="1">
      <x v="96"/>
    </i>
    <i r="1">
      <x v="114"/>
    </i>
    <i r="1">
      <x v="115"/>
    </i>
    <i r="1">
      <x v="121"/>
    </i>
    <i r="1">
      <x v="129"/>
    </i>
    <i r="1">
      <x v="131"/>
    </i>
    <i r="1">
      <x v="148"/>
    </i>
    <i r="1">
      <x v="151"/>
    </i>
    <i r="1">
      <x v="152"/>
    </i>
    <i r="1">
      <x v="156"/>
    </i>
    <i>
      <x v="7"/>
    </i>
    <i r="1">
      <x v="14"/>
    </i>
    <i r="1">
      <x v="19"/>
    </i>
    <i r="1">
      <x v="64"/>
    </i>
    <i r="1">
      <x v="90"/>
    </i>
    <i r="1">
      <x v="99"/>
    </i>
    <i r="1">
      <x v="112"/>
    </i>
    <i r="1">
      <x v="126"/>
    </i>
    <i>
      <x v="8"/>
    </i>
    <i r="1">
      <x v="3"/>
    </i>
    <i r="1">
      <x v="12"/>
    </i>
    <i r="1">
      <x v="23"/>
    </i>
    <i r="1">
      <x v="37"/>
    </i>
    <i r="1">
      <x v="42"/>
    </i>
    <i r="1">
      <x v="45"/>
    </i>
    <i r="1">
      <x v="57"/>
    </i>
    <i r="1">
      <x v="61"/>
    </i>
    <i r="1">
      <x v="66"/>
    </i>
    <i r="1">
      <x v="81"/>
    </i>
    <i r="1">
      <x v="93"/>
    </i>
    <i r="1">
      <x v="100"/>
    </i>
    <i r="1">
      <x v="102"/>
    </i>
    <i r="1">
      <x v="103"/>
    </i>
    <i r="1">
      <x v="118"/>
    </i>
    <i r="1">
      <x v="123"/>
    </i>
    <i r="1">
      <x v="124"/>
    </i>
    <i r="1">
      <x v="130"/>
    </i>
    <i r="1">
      <x v="134"/>
    </i>
    <i r="1">
      <x v="135"/>
    </i>
    <i r="1">
      <x v="136"/>
    </i>
    <i r="1">
      <x v="137"/>
    </i>
    <i r="1">
      <x v="139"/>
    </i>
    <i r="1">
      <x v="146"/>
    </i>
    <i r="1">
      <x v="157"/>
    </i>
    <i>
      <x v="9"/>
    </i>
    <i r="1">
      <x v="1"/>
    </i>
    <i r="1">
      <x v="5"/>
    </i>
    <i r="1">
      <x v="6"/>
    </i>
    <i r="1">
      <x v="21"/>
    </i>
    <i r="1">
      <x v="28"/>
    </i>
    <i r="1">
      <x v="40"/>
    </i>
    <i r="1">
      <x v="58"/>
    </i>
    <i r="1">
      <x v="67"/>
    </i>
    <i r="1">
      <x v="68"/>
    </i>
    <i r="1">
      <x v="73"/>
    </i>
    <i r="1">
      <x v="77"/>
    </i>
    <i r="1">
      <x v="78"/>
    </i>
    <i r="1">
      <x v="84"/>
    </i>
    <i r="1">
      <x v="91"/>
    </i>
    <i r="1">
      <x v="108"/>
    </i>
    <i r="1">
      <x v="109"/>
    </i>
    <i r="1">
      <x v="119"/>
    </i>
    <i r="1">
      <x v="138"/>
    </i>
    <i r="1">
      <x v="155"/>
    </i>
    <i>
      <x v="10"/>
    </i>
    <i r="1">
      <x v="8"/>
    </i>
    <i r="1">
      <x v="11"/>
    </i>
    <i r="1">
      <x v="16"/>
    </i>
    <i r="1">
      <x v="34"/>
    </i>
    <i r="1">
      <x v="41"/>
    </i>
    <i r="1">
      <x v="51"/>
    </i>
    <i r="1">
      <x v="54"/>
    </i>
    <i r="1">
      <x v="59"/>
    </i>
    <i r="1">
      <x v="62"/>
    </i>
    <i r="1">
      <x v="69"/>
    </i>
    <i r="1">
      <x v="71"/>
    </i>
    <i r="1">
      <x v="82"/>
    </i>
    <i r="1">
      <x v="85"/>
    </i>
    <i r="1">
      <x v="87"/>
    </i>
    <i r="1">
      <x v="89"/>
    </i>
    <i r="1">
      <x v="92"/>
    </i>
    <i r="1">
      <x v="96"/>
    </i>
    <i r="1">
      <x v="116"/>
    </i>
    <i r="1">
      <x v="125"/>
    </i>
    <i r="1">
      <x v="145"/>
    </i>
    <i r="1">
      <x v="149"/>
    </i>
    <i t="grand">
      <x/>
    </i>
  </rowItems>
  <colItems count="1">
    <i/>
  </colItems>
  <dataFields count="1">
    <dataField name="Sum of Estimated Cost" fld="14"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F29022-7AFE-42AD-A1D0-CD643A5BF2AB}" name="PivotTable4" cacheId="6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5" firstHeaderRow="1" firstDataRow="1" firstDataCol="1" rowPageCount="1" colPageCount="1"/>
  <pivotFields count="3">
    <pivotField axis="axisPage" compact="0" outline="0" multipleItemSelectionAllowed="1" showAll="0">
      <items count="163">
        <item x="0"/>
        <item x="1"/>
        <item x="2"/>
        <item x="3"/>
        <item x="4"/>
        <item x="5"/>
        <item x="6"/>
        <item x="7"/>
        <item x="8"/>
        <item x="9"/>
        <item x="10"/>
        <item x="11"/>
        <item x="12"/>
        <item x="13"/>
        <item x="14"/>
        <item x="15"/>
        <item x="16"/>
        <item x="17"/>
        <item x="18"/>
        <item x="19"/>
        <item x="20"/>
        <item x="21"/>
        <item x="22"/>
        <item x="23"/>
        <item h="1"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61"/>
        <item x="160"/>
        <item x="137"/>
        <item x="138"/>
        <item x="139"/>
        <item x="140"/>
        <item x="141"/>
        <item x="142"/>
        <item x="143"/>
        <item x="144"/>
        <item x="145"/>
        <item x="146"/>
        <item x="147"/>
        <item x="148"/>
        <item x="149"/>
        <item x="150"/>
        <item x="151"/>
        <item x="152"/>
        <item x="153"/>
        <item x="154"/>
        <item x="155"/>
        <item x="156"/>
        <item x="157"/>
        <item x="158"/>
        <item x="159"/>
        <item t="default"/>
      </items>
    </pivotField>
    <pivotField compact="0" outline="0" showAll="0"/>
    <pivotField axis="axisRow" dataField="1" compact="0" outline="0" showAll="0" sortType="ascending">
      <items count="21">
        <item x="8"/>
        <item x="5"/>
        <item x="17"/>
        <item x="19"/>
        <item x="4"/>
        <item x="18"/>
        <item x="1"/>
        <item x="10"/>
        <item x="13"/>
        <item x="15"/>
        <item x="16"/>
        <item x="12"/>
        <item x="11"/>
        <item x="9"/>
        <item x="14"/>
        <item x="6"/>
        <item x="2"/>
        <item x="0"/>
        <item x="3"/>
        <item h="1" x="7"/>
        <item t="default"/>
      </items>
    </pivotField>
  </pivotFields>
  <rowFields count="1">
    <field x="2"/>
  </rowFields>
  <rowItems count="12">
    <i>
      <x/>
    </i>
    <i>
      <x v="1"/>
    </i>
    <i>
      <x v="2"/>
    </i>
    <i>
      <x v="3"/>
    </i>
    <i>
      <x v="4"/>
    </i>
    <i>
      <x v="5"/>
    </i>
    <i>
      <x v="6"/>
    </i>
    <i>
      <x v="15"/>
    </i>
    <i>
      <x v="16"/>
    </i>
    <i>
      <x v="17"/>
    </i>
    <i>
      <x v="18"/>
    </i>
    <i t="grand">
      <x/>
    </i>
  </rowItems>
  <colItems count="1">
    <i/>
  </colItems>
  <pageFields count="1">
    <pageField fld="0" hier="-1"/>
  </pageFields>
  <dataFields count="1">
    <dataField name="Count of Workstrea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A98C4C-73FB-44A2-891E-E8B51702F321}" name="Table3" displayName="Table3" ref="A3:Q193" totalsRowShown="0">
  <autoFilter ref="A3:Q193" xr:uid="{4BA98C4C-73FB-44A2-891E-E8B51702F321}">
    <filterColumn colId="5">
      <filters>
        <filter val="Abbie J. Egherman &lt;ABBIE.EGHERMAN@cmsenergy.com&gt;_x000a_c:  734-975-0828"/>
        <filter val="Alex Dekamp/Tom Esser"/>
        <filter val="Alexander Dekamp/Thomas Esser"/>
        <filter val="David Shanks/Jacqueline Knight"/>
        <filter val="DEAN L MARTIN/Jennifer Wallingford"/>
        <filter val="Duncan Patterson"/>
        <filter val="Jen Wallingford"/>
        <filter val="Jennifer Wallingford"/>
        <filter val="Jennifer Wallingford &amp; Carol Boyk"/>
        <filter val="Krishna Karunakaram"/>
        <filter val="Liesl A. Smith &lt;LIESL.SMITH@cmsenergy.com&gt;_x000a_c: 517-303-9858_x000a_"/>
        <filter val="Matthew R. Faunt_x000a_ &lt;MATTHEW.FAUNT@cmsenergy.com&gt;_x000a_GIS Platform Administration_x000a_CX&amp;T-IT-Gas Supply &amp; Asset Management _x000a_C: 517-243-0454"/>
        <filter val="Michael D. Cooper _x000a_"/>
        <filter val="Michael S. Scott &lt;MICHAEL.SCOTT@cmsenergy.com&gt;_x000a_517-788-1036_x000a_"/>
        <filter val="Michelle Stoimenoff"/>
        <filter val="Mike Cooper"/>
        <filter val="Scot Ward"/>
        <filter val="Scot Ward/LUIS E ARCIENEGA"/>
      </filters>
    </filterColumn>
  </autoFilter>
  <tableColumns count="17">
    <tableColumn id="1" xr3:uid="{E2DC3CF1-AA5A-4F87-BFFE-72A7E181E04B}" name="Vendor"/>
    <tableColumn id="2" xr3:uid="{04052116-977B-4FA7-B8A8-EE4D1F2B7AED}" name="Product Name"/>
    <tableColumn id="3" xr3:uid="{2FAA7778-BC8D-4A9A-A8CF-0F083A3561F5}" name="Application Name "/>
    <tableColumn id="4" xr3:uid="{5C6CC0B1-185F-4BA2-827F-C3C4A707D341}" name="Integration Middleware Name (PO, ESB, Biztalk, Axway etc.) "/>
    <tableColumn id="5" xr3:uid="{5BFE9965-EB67-4089-9D18-A72AA025D21F}" name="Workstream"/>
    <tableColumn id="6" xr3:uid="{40A1A0D8-9F39-4419-B215-9DF4ED02A0E9}" name="Relationship Owner"/>
    <tableColumn id="7" xr3:uid="{0989683C-8224-4329-A141-EBC74487761E}" name="Vendor Contact"/>
    <tableColumn id="8" xr3:uid="{3684CC40-950B-43D0-AB22-AEDFA8852D00}" name="Vendor Communication Initiated"/>
    <tableColumn id="9" xr3:uid="{5BA3DDAB-EB38-49D4-8135-0D03E25E6F03}" name="S/4 or SuccessFactors Compatible (Y/N)"/>
    <tableColumn id="10" xr3:uid="{EC3BD294-2F31-429A-945B-4EBE1AF94275}" name="Vendor engagement needed"/>
    <tableColumn id="11" xr3:uid="{44BC86F9-644A-4B10-A4B7-BB5B3A27FC73}" name="Upgrade Needed"/>
    <tableColumn id="12" xr3:uid="{54382A4F-7A24-47DC-B6DB-258B09288CAF}" name="Application Changes Needed"/>
    <tableColumn id="13" xr3:uid="{5B4270B1-07B6-474A-9B10-C93405AFA9F6}" name="Interface Changes Needed"/>
    <tableColumn id="14" xr3:uid="{632F1F8D-0E17-45B3-B91E-4ADA7066CFF4}" name="SOW Required"/>
    <tableColumn id="15" xr3:uid="{733E8772-F9D7-47CD-B058-2A139FF4AA4B}" name="Estimated Cost"/>
    <tableColumn id="16" xr3:uid="{CB21AC6C-CCC2-4F42-9CDD-F780AEACCE7A}" name="Estimate Confidence (%)"/>
    <tableColumn id="17" xr3:uid="{9DE2AC69-1B4A-4E7D-BB73-70766D90D08B}" name="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AC9DB0-40C1-44E8-B875-FA4151949BCF}" name="Table2" displayName="Table2" ref="A3:V16" totalsRowShown="0">
  <tableColumns count="22">
    <tableColumn id="1" xr3:uid="{E6BBF3FE-D152-4B0D-8DF8-62FDED70FAC1}" name="Vendor"/>
    <tableColumn id="2" xr3:uid="{1E2BE3B9-844C-470A-A5C8-668FEB9674B0}" name="Product Name"/>
    <tableColumn id="3" xr3:uid="{FAE58FDF-2F27-4C9F-A905-64F088B22950}" name="Application Name "/>
    <tableColumn id="4" xr3:uid="{ABE71832-7C16-40C3-9B09-DE1234FDCBD5}" name="Integration Middleware Name (PO, ESB, Biztalk, Axway etc.) "/>
    <tableColumn id="5" xr3:uid="{7D4E9995-D097-4EE4-BAC8-E1BEFB4653D4}" name="Workstream"/>
    <tableColumn id="6" xr3:uid="{C0CD95C6-5151-4DE2-9472-4130E5D06652}" name="Relationship Owner"/>
    <tableColumn id="7" xr3:uid="{67EF0BB4-FC38-495E-90AB-0C4791287F68}" name="Vendor Contact"/>
    <tableColumn id="8" xr3:uid="{C325E678-FE53-4B11-864D-EC3C8CEBCB23}" name="Vendor Communication Initiated"/>
    <tableColumn id="9" xr3:uid="{D7FB357F-7A63-408C-B6EC-1B680C508119}" name="S/4 or SuccessFactors Compatible (Y/N)"/>
    <tableColumn id="10" xr3:uid="{F4512B50-35A0-446B-BC9B-6E681E29704C}" name="Vendor engagement needed"/>
    <tableColumn id="11" xr3:uid="{1E51B847-9E21-4A64-AE18-97A333B1F0C3}" name="Upgrade Needed"/>
    <tableColumn id="12" xr3:uid="{420BCF9B-8296-4D9B-997A-A4BE0FBD0D1A}" name="Application Changes Needed"/>
    <tableColumn id="13" xr3:uid="{B86E2BA9-C09C-4A4F-B674-12718D8C7011}" name="Interface Changes Needed"/>
    <tableColumn id="14" xr3:uid="{B2D3F00A-B2A0-41E4-9497-03BEAB5646BD}" name="SOW Required"/>
    <tableColumn id="15" xr3:uid="{EA95B00F-89F3-4DE1-BC5D-A3BB5F3BC9C6}" name="Estimated Cost"/>
    <tableColumn id="16" xr3:uid="{F447F255-9058-4D54-A134-9939438CCE51}" name="Estimate Confidence (%)"/>
    <tableColumn id="17" xr3:uid="{7EEF7694-3E5A-483D-8982-323F042B12DD}" name="Comments"/>
    <tableColumn id="18" xr3:uid="{C4191567-0389-4CAA-9358-BF4BB241D7F7}" name="CE SME"/>
    <tableColumn id="19" xr3:uid="{AC5FDFE9-FB57-42B4-86DF-A51E43C7605A}" name="Data Objects exchanged"/>
    <tableColumn id="20" xr3:uid="{B3821EC0-83EF-4F2A-898F-CFDB3EA13649}" name=" Tech Upgrade/Re-write with Std S4"/>
    <tableColumn id="21" xr3:uid="{574015D5-E5A9-4F1A-82EA-2DEF5C372BFE}" name="T-Shirt Sizing"/>
    <tableColumn id="22" xr3:uid="{5C0C4D4A-639D-4C88-B03C-C24D986382A7}" name="Comments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428E7-9438-43E9-8187-4D3CC87C2A14}" name="Table1" displayName="Table1" ref="A1:F19" totalsRowShown="0" headerRowDxfId="1">
  <autoFilter ref="A1:F19" xr:uid="{4FF428E7-9438-43E9-8187-4D3CC87C2A14}"/>
  <tableColumns count="6">
    <tableColumn id="1" xr3:uid="{B1878894-74FC-4AB7-B464-FE49BB858A48}" name="Vendor Name" dataDxfId="0"/>
    <tableColumn id="2" xr3:uid="{75EFE594-78B3-4B1B-8B7A-ADD468F8C2DC}" name="No. of Batch Interfaces"/>
    <tableColumn id="3" xr3:uid="{9698347E-835F-4B79-AF78-36563DE6A49B}" name="PO Interfaces"/>
    <tableColumn id="4" xr3:uid="{F7DF69E9-AE3D-4965-A884-B833B3ED71A4}" name="PO and ESB"/>
    <tableColumn id="5" xr3:uid="{C37690E7-07A5-4E08-B2E0-F3B282EA6188}" name="Complexity"/>
    <tableColumn id="6" xr3:uid="{A8C2AB5C-424C-43EF-AA98-FBDFDE3A7891}" name="Ho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hyperlink" Target="mailto:GreatLakes_RetailOperations@constellation.com;%20Ana.Gutierrez@constellation.com;Tonia.Lively@constellation.com" TargetMode="External"/><Relationship Id="rId2" Type="http://schemas.openxmlformats.org/officeDocument/2006/relationships/hyperlink" Target="mailto:customerservice@billtrust.com" TargetMode="External"/><Relationship Id="rId1" Type="http://schemas.openxmlformats.org/officeDocument/2006/relationships/hyperlink" Target="mailto:Oscar.lo@gridx.com;%20Stephanie.Zaiken@gridx.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nsumersenergy.sharepoint.com/sites/ICOE/Shared%20Documents/Forms/AllItems.aspx?cid=8c125b66%2D3043%2D455c%2D9c29%2De3fe1eeb052d&amp;RootFolder=%2Fssp%2FICOE%2FShared%20Documents%2FIFS%20Documents%2FBO_INT_010_O020_030%2D8D3D1B5227724F3%2Edoc"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onsumersenergy.sharepoint.com/sites/homeSharePoint%20Internal%20&#8211;%20EDI%20Integration%20Doc" TargetMode="Externa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3" Type="http://schemas.openxmlformats.org/officeDocument/2006/relationships/hyperlink" Target="mailto:GreatLakes_RetailOperations@constellation.com;%20Ana.Gutierrez@constellation.com;Tonia.Lively@constellation.com" TargetMode="External"/><Relationship Id="rId2" Type="http://schemas.openxmlformats.org/officeDocument/2006/relationships/hyperlink" Target="mailto:customerservice@billtrust.com" TargetMode="External"/><Relationship Id="rId1" Type="http://schemas.openxmlformats.org/officeDocument/2006/relationships/hyperlink" Target="mailto:Oscar.lo@gridx.com;%20Stephanie.Zaiken@gridx.com"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EDC67-10B7-4FD5-B6D6-FE8871056606}">
  <dimension ref="A1:J6"/>
  <sheetViews>
    <sheetView workbookViewId="0">
      <selection activeCell="B6" sqref="B6"/>
    </sheetView>
  </sheetViews>
  <sheetFormatPr defaultRowHeight="15"/>
  <cols>
    <col min="1" max="1" width="16.42578125" customWidth="1"/>
    <col min="2" max="2" width="36.5703125" bestFit="1" customWidth="1"/>
    <col min="3" max="3" width="45" style="1" customWidth="1"/>
    <col min="4" max="5" width="17.5703125" customWidth="1"/>
    <col min="6" max="6" width="14.5703125" customWidth="1"/>
    <col min="7" max="7" width="22" customWidth="1"/>
    <col min="8" max="8" width="21.5703125" customWidth="1"/>
    <col min="9" max="9" width="16.5703125" customWidth="1"/>
    <col min="10" max="10" width="50.5703125" style="1" customWidth="1"/>
  </cols>
  <sheetData>
    <row r="1" spans="1:10" ht="45">
      <c r="A1" s="2" t="s">
        <v>0</v>
      </c>
      <c r="B1" s="2" t="s">
        <v>1</v>
      </c>
      <c r="C1" s="2" t="s">
        <v>2</v>
      </c>
      <c r="D1" s="2" t="s">
        <v>3</v>
      </c>
      <c r="E1" s="2" t="s">
        <v>4</v>
      </c>
      <c r="F1" s="2" t="s">
        <v>5</v>
      </c>
      <c r="G1" s="2" t="s">
        <v>6</v>
      </c>
      <c r="H1" s="2" t="s">
        <v>7</v>
      </c>
      <c r="I1" s="2" t="s">
        <v>8</v>
      </c>
      <c r="J1" s="2" t="s">
        <v>9</v>
      </c>
    </row>
    <row r="2" spans="1:10" ht="30">
      <c r="A2" t="s">
        <v>10</v>
      </c>
      <c r="B2" t="s">
        <v>11</v>
      </c>
      <c r="C2" s="1" t="s">
        <v>12</v>
      </c>
    </row>
    <row r="3" spans="1:10" ht="30">
      <c r="A3" t="s">
        <v>10</v>
      </c>
      <c r="B3" t="s">
        <v>13</v>
      </c>
      <c r="C3" s="1" t="s">
        <v>14</v>
      </c>
      <c r="J3" s="1" t="s">
        <v>15</v>
      </c>
    </row>
    <row r="4" spans="1:10" ht="30">
      <c r="A4" t="s">
        <v>10</v>
      </c>
      <c r="B4" t="s">
        <v>16</v>
      </c>
      <c r="C4" s="1" t="s">
        <v>14</v>
      </c>
    </row>
    <row r="5" spans="1:10" ht="30">
      <c r="A5" t="s">
        <v>17</v>
      </c>
      <c r="B5" t="s">
        <v>18</v>
      </c>
      <c r="C5" s="1" t="s">
        <v>14</v>
      </c>
    </row>
    <row r="6" spans="1:10" ht="30">
      <c r="A6" t="s">
        <v>10</v>
      </c>
      <c r="B6" t="s">
        <v>19</v>
      </c>
      <c r="C6"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416F3-0A94-469F-AA16-771EBF14FBE0}">
  <dimension ref="A1:Q193"/>
  <sheetViews>
    <sheetView workbookViewId="0"/>
  </sheetViews>
  <sheetFormatPr defaultRowHeight="15"/>
  <cols>
    <col min="1" max="1" width="46.7109375" bestFit="1" customWidth="1"/>
    <col min="2" max="2" width="57.7109375" bestFit="1" customWidth="1"/>
    <col min="3" max="3" width="47.7109375" bestFit="1" customWidth="1"/>
    <col min="4" max="4" width="57.5703125" bestFit="1" customWidth="1"/>
    <col min="5" max="5" width="20.5703125" bestFit="1" customWidth="1"/>
    <col min="6" max="6" width="52.85546875" bestFit="1" customWidth="1"/>
    <col min="7" max="7" width="95.7109375" bestFit="1" customWidth="1"/>
    <col min="8" max="8" width="35.5703125" bestFit="1" customWidth="1"/>
    <col min="9" max="9" width="39.7109375" bestFit="1" customWidth="1"/>
    <col min="10" max="10" width="28.7109375" bestFit="1" customWidth="1"/>
    <col min="11" max="11" width="18.28515625" bestFit="1" customWidth="1"/>
    <col min="12" max="12" width="29.5703125" bestFit="1" customWidth="1"/>
    <col min="13" max="13" width="27.28515625" bestFit="1" customWidth="1"/>
    <col min="14" max="14" width="16.42578125" bestFit="1" customWidth="1"/>
    <col min="15" max="15" width="17.140625" bestFit="1" customWidth="1"/>
    <col min="16" max="16" width="25.7109375" bestFit="1" customWidth="1"/>
    <col min="17" max="17" width="255.7109375" bestFit="1" customWidth="1"/>
  </cols>
  <sheetData>
    <row r="1" spans="1:17">
      <c r="A1" s="35" t="s">
        <v>20</v>
      </c>
    </row>
    <row r="3" spans="1:17">
      <c r="A3" t="s">
        <v>0</v>
      </c>
      <c r="B3" t="s">
        <v>1</v>
      </c>
      <c r="C3" t="s">
        <v>21</v>
      </c>
      <c r="D3" t="s">
        <v>22</v>
      </c>
      <c r="E3" t="s">
        <v>23</v>
      </c>
      <c r="F3" t="s">
        <v>24</v>
      </c>
      <c r="G3" t="s">
        <v>25</v>
      </c>
      <c r="H3" t="s">
        <v>26</v>
      </c>
      <c r="I3" t="s">
        <v>27</v>
      </c>
      <c r="J3" t="s">
        <v>28</v>
      </c>
      <c r="K3" t="s">
        <v>29</v>
      </c>
      <c r="L3" t="s">
        <v>30</v>
      </c>
      <c r="M3" t="s">
        <v>31</v>
      </c>
      <c r="N3" t="s">
        <v>32</v>
      </c>
      <c r="O3" t="s">
        <v>33</v>
      </c>
      <c r="P3" t="s">
        <v>5</v>
      </c>
      <c r="Q3" t="s">
        <v>9</v>
      </c>
    </row>
    <row r="4" spans="1:17" hidden="1">
      <c r="A4" t="s">
        <v>34</v>
      </c>
      <c r="B4" t="s">
        <v>35</v>
      </c>
      <c r="C4" t="s">
        <v>35</v>
      </c>
      <c r="E4" t="s">
        <v>36</v>
      </c>
      <c r="F4" t="s">
        <v>37</v>
      </c>
      <c r="G4" t="s">
        <v>38</v>
      </c>
      <c r="H4" t="s">
        <v>39</v>
      </c>
      <c r="I4" t="s">
        <v>39</v>
      </c>
      <c r="J4" t="s">
        <v>39</v>
      </c>
      <c r="N4" t="s">
        <v>40</v>
      </c>
      <c r="Q4" t="s">
        <v>41</v>
      </c>
    </row>
    <row r="5" spans="1:17" ht="75" hidden="1">
      <c r="A5" t="s">
        <v>42</v>
      </c>
      <c r="B5" t="s">
        <v>43</v>
      </c>
      <c r="C5" t="s">
        <v>44</v>
      </c>
      <c r="E5" t="s">
        <v>36</v>
      </c>
      <c r="F5" t="s">
        <v>45</v>
      </c>
      <c r="G5" s="1" t="s">
        <v>46</v>
      </c>
      <c r="H5" t="s">
        <v>39</v>
      </c>
      <c r="N5" t="s">
        <v>40</v>
      </c>
      <c r="Q5" t="s">
        <v>47</v>
      </c>
    </row>
    <row r="6" spans="1:17" hidden="1">
      <c r="A6" t="s">
        <v>48</v>
      </c>
      <c r="B6" t="s">
        <v>49</v>
      </c>
      <c r="C6" t="s">
        <v>49</v>
      </c>
      <c r="E6" t="s">
        <v>50</v>
      </c>
      <c r="F6" t="s">
        <v>51</v>
      </c>
      <c r="J6" t="s">
        <v>39</v>
      </c>
      <c r="M6" t="s">
        <v>39</v>
      </c>
      <c r="O6">
        <v>10000</v>
      </c>
      <c r="P6">
        <v>0.5</v>
      </c>
      <c r="Q6" t="s">
        <v>52</v>
      </c>
    </row>
    <row r="7" spans="1:17" hidden="1">
      <c r="A7" t="s">
        <v>53</v>
      </c>
      <c r="B7" t="s">
        <v>54</v>
      </c>
      <c r="C7" t="s">
        <v>53</v>
      </c>
      <c r="E7" t="s">
        <v>55</v>
      </c>
      <c r="F7" t="s">
        <v>56</v>
      </c>
      <c r="H7" t="s">
        <v>39</v>
      </c>
    </row>
    <row r="8" spans="1:17" ht="105" hidden="1">
      <c r="A8" t="s">
        <v>57</v>
      </c>
      <c r="B8" t="s">
        <v>58</v>
      </c>
      <c r="C8" t="s">
        <v>58</v>
      </c>
      <c r="D8" s="1" t="s">
        <v>59</v>
      </c>
      <c r="E8" t="s">
        <v>60</v>
      </c>
      <c r="F8" t="s">
        <v>61</v>
      </c>
      <c r="G8" t="s">
        <v>62</v>
      </c>
      <c r="H8" t="s">
        <v>39</v>
      </c>
      <c r="I8" t="s">
        <v>63</v>
      </c>
      <c r="J8" t="s">
        <v>39</v>
      </c>
      <c r="K8" t="s">
        <v>64</v>
      </c>
      <c r="L8" t="s">
        <v>64</v>
      </c>
      <c r="M8" t="s">
        <v>65</v>
      </c>
      <c r="N8" t="s">
        <v>66</v>
      </c>
      <c r="O8">
        <v>50000</v>
      </c>
      <c r="P8">
        <v>0.25</v>
      </c>
      <c r="Q8" t="s">
        <v>67</v>
      </c>
    </row>
    <row r="9" spans="1:17">
      <c r="A9" t="s">
        <v>68</v>
      </c>
      <c r="B9" t="s">
        <v>69</v>
      </c>
      <c r="C9" t="s">
        <v>69</v>
      </c>
      <c r="D9" t="s">
        <v>70</v>
      </c>
      <c r="E9" t="s">
        <v>71</v>
      </c>
      <c r="F9" t="s">
        <v>72</v>
      </c>
    </row>
    <row r="10" spans="1:17">
      <c r="A10" t="s">
        <v>68</v>
      </c>
      <c r="B10" t="s">
        <v>73</v>
      </c>
      <c r="C10" t="s">
        <v>73</v>
      </c>
      <c r="D10" t="s">
        <v>70</v>
      </c>
      <c r="E10" t="s">
        <v>71</v>
      </c>
      <c r="F10" t="s">
        <v>72</v>
      </c>
    </row>
    <row r="11" spans="1:17">
      <c r="A11" t="s">
        <v>68</v>
      </c>
      <c r="B11" t="s">
        <v>74</v>
      </c>
      <c r="C11" t="s">
        <v>74</v>
      </c>
      <c r="D11" t="s">
        <v>70</v>
      </c>
      <c r="E11" t="s">
        <v>71</v>
      </c>
      <c r="F11" t="s">
        <v>72</v>
      </c>
    </row>
    <row r="12" spans="1:17" hidden="1">
      <c r="A12" t="s">
        <v>75</v>
      </c>
      <c r="B12" t="s">
        <v>75</v>
      </c>
      <c r="E12" t="s">
        <v>55</v>
      </c>
      <c r="F12" t="s">
        <v>76</v>
      </c>
      <c r="H12" t="s">
        <v>77</v>
      </c>
      <c r="I12" t="s">
        <v>77</v>
      </c>
      <c r="J12" t="s">
        <v>78</v>
      </c>
      <c r="K12" t="s">
        <v>78</v>
      </c>
      <c r="L12" t="s">
        <v>39</v>
      </c>
      <c r="M12" t="s">
        <v>78</v>
      </c>
      <c r="N12" t="s">
        <v>78</v>
      </c>
      <c r="O12">
        <v>25000</v>
      </c>
      <c r="Q12" t="s">
        <v>79</v>
      </c>
    </row>
    <row r="13" spans="1:17" ht="75">
      <c r="A13" t="s">
        <v>80</v>
      </c>
      <c r="B13" t="s">
        <v>81</v>
      </c>
      <c r="C13" t="s">
        <v>81</v>
      </c>
      <c r="E13" t="s">
        <v>71</v>
      </c>
      <c r="F13" s="1" t="s">
        <v>82</v>
      </c>
    </row>
    <row r="14" spans="1:17" ht="75">
      <c r="A14" t="s">
        <v>80</v>
      </c>
      <c r="B14" t="s">
        <v>83</v>
      </c>
      <c r="C14" t="s">
        <v>83</v>
      </c>
      <c r="E14" t="s">
        <v>71</v>
      </c>
      <c r="F14" s="1" t="s">
        <v>82</v>
      </c>
    </row>
    <row r="15" spans="1:17" ht="75">
      <c r="A15" t="s">
        <v>80</v>
      </c>
      <c r="B15" t="s">
        <v>84</v>
      </c>
      <c r="C15" t="s">
        <v>84</v>
      </c>
      <c r="E15" t="s">
        <v>71</v>
      </c>
      <c r="F15" s="1" t="s">
        <v>82</v>
      </c>
    </row>
    <row r="16" spans="1:17" hidden="1">
      <c r="A16" t="s">
        <v>85</v>
      </c>
      <c r="B16" t="s">
        <v>85</v>
      </c>
      <c r="C16" t="s">
        <v>85</v>
      </c>
      <c r="D16" t="s">
        <v>86</v>
      </c>
      <c r="E16" t="s">
        <v>71</v>
      </c>
      <c r="F16" t="s">
        <v>87</v>
      </c>
    </row>
    <row r="17" spans="1:17" hidden="1">
      <c r="A17" t="s">
        <v>88</v>
      </c>
      <c r="B17" t="s">
        <v>88</v>
      </c>
      <c r="E17" t="s">
        <v>55</v>
      </c>
      <c r="F17" t="s">
        <v>89</v>
      </c>
      <c r="H17" t="s">
        <v>78</v>
      </c>
      <c r="I17" t="s">
        <v>77</v>
      </c>
      <c r="J17" t="s">
        <v>39</v>
      </c>
      <c r="K17" t="s">
        <v>78</v>
      </c>
      <c r="L17" t="s">
        <v>39</v>
      </c>
      <c r="M17" t="s">
        <v>78</v>
      </c>
      <c r="O17">
        <v>25000</v>
      </c>
    </row>
    <row r="18" spans="1:17" hidden="1">
      <c r="A18" t="s">
        <v>90</v>
      </c>
      <c r="B18" t="s">
        <v>91</v>
      </c>
      <c r="C18" t="s">
        <v>92</v>
      </c>
      <c r="E18" t="s">
        <v>36</v>
      </c>
      <c r="F18" t="s">
        <v>93</v>
      </c>
      <c r="G18" t="s">
        <v>94</v>
      </c>
      <c r="H18" t="s">
        <v>39</v>
      </c>
      <c r="Q18" t="s">
        <v>95</v>
      </c>
    </row>
    <row r="19" spans="1:17" hidden="1">
      <c r="A19" t="s">
        <v>96</v>
      </c>
      <c r="B19" t="s">
        <v>96</v>
      </c>
      <c r="C19" t="s">
        <v>96</v>
      </c>
      <c r="E19" t="s">
        <v>50</v>
      </c>
      <c r="F19" t="s">
        <v>51</v>
      </c>
      <c r="I19" t="s">
        <v>39</v>
      </c>
      <c r="M19" t="s">
        <v>39</v>
      </c>
      <c r="O19">
        <v>10000</v>
      </c>
      <c r="P19">
        <v>0.9</v>
      </c>
      <c r="Q19" t="s">
        <v>97</v>
      </c>
    </row>
    <row r="20" spans="1:17" ht="30">
      <c r="A20" t="s">
        <v>98</v>
      </c>
      <c r="B20" t="s">
        <v>99</v>
      </c>
      <c r="C20" t="s">
        <v>99</v>
      </c>
      <c r="D20" t="s">
        <v>100</v>
      </c>
      <c r="E20" t="s">
        <v>71</v>
      </c>
      <c r="F20" s="1" t="s">
        <v>101</v>
      </c>
    </row>
    <row r="21" spans="1:17" ht="30">
      <c r="A21" t="s">
        <v>98</v>
      </c>
      <c r="B21" t="s">
        <v>102</v>
      </c>
      <c r="C21" t="s">
        <v>102</v>
      </c>
      <c r="D21" t="s">
        <v>100</v>
      </c>
      <c r="E21" t="s">
        <v>71</v>
      </c>
      <c r="F21" s="1" t="s">
        <v>101</v>
      </c>
    </row>
    <row r="22" spans="1:17" ht="30">
      <c r="A22" t="s">
        <v>98</v>
      </c>
      <c r="B22" t="s">
        <v>103</v>
      </c>
      <c r="C22" t="s">
        <v>103</v>
      </c>
      <c r="D22" t="s">
        <v>100</v>
      </c>
      <c r="E22" t="s">
        <v>71</v>
      </c>
      <c r="F22" s="1" t="s">
        <v>101</v>
      </c>
    </row>
    <row r="23" spans="1:17" ht="30">
      <c r="A23" t="s">
        <v>98</v>
      </c>
      <c r="B23" t="s">
        <v>104</v>
      </c>
      <c r="C23" t="s">
        <v>104</v>
      </c>
      <c r="D23" t="s">
        <v>100</v>
      </c>
      <c r="E23" t="s">
        <v>71</v>
      </c>
      <c r="F23" s="1" t="s">
        <v>101</v>
      </c>
    </row>
    <row r="24" spans="1:17" ht="30">
      <c r="A24" t="s">
        <v>98</v>
      </c>
      <c r="B24" t="s">
        <v>105</v>
      </c>
      <c r="C24" t="s">
        <v>105</v>
      </c>
      <c r="D24" t="s">
        <v>100</v>
      </c>
      <c r="E24" t="s">
        <v>71</v>
      </c>
      <c r="F24" s="1" t="s">
        <v>101</v>
      </c>
    </row>
    <row r="25" spans="1:17" ht="180" hidden="1">
      <c r="A25" t="s">
        <v>98</v>
      </c>
      <c r="B25" t="s">
        <v>106</v>
      </c>
      <c r="C25" t="s">
        <v>106</v>
      </c>
      <c r="D25" t="s">
        <v>107</v>
      </c>
      <c r="E25" t="s">
        <v>71</v>
      </c>
      <c r="F25" s="1" t="s">
        <v>108</v>
      </c>
    </row>
    <row r="26" spans="1:17" ht="30">
      <c r="A26" t="s">
        <v>98</v>
      </c>
      <c r="B26" t="s">
        <v>109</v>
      </c>
      <c r="C26" t="s">
        <v>109</v>
      </c>
      <c r="D26" t="s">
        <v>100</v>
      </c>
      <c r="E26" t="s">
        <v>71</v>
      </c>
      <c r="F26" s="1" t="s">
        <v>101</v>
      </c>
    </row>
    <row r="27" spans="1:17" hidden="1">
      <c r="A27" t="s">
        <v>110</v>
      </c>
      <c r="B27" t="s">
        <v>110</v>
      </c>
      <c r="C27" t="s">
        <v>110</v>
      </c>
      <c r="E27" t="s">
        <v>111</v>
      </c>
      <c r="F27" t="s">
        <v>112</v>
      </c>
    </row>
    <row r="28" spans="1:17" hidden="1">
      <c r="A28" t="s">
        <v>113</v>
      </c>
      <c r="B28" t="s">
        <v>114</v>
      </c>
      <c r="C28" t="s">
        <v>77</v>
      </c>
      <c r="E28" t="s">
        <v>55</v>
      </c>
      <c r="F28" t="s">
        <v>115</v>
      </c>
      <c r="H28" t="s">
        <v>39</v>
      </c>
      <c r="I28" t="s">
        <v>77</v>
      </c>
      <c r="J28" t="s">
        <v>39</v>
      </c>
      <c r="K28" t="s">
        <v>44</v>
      </c>
      <c r="L28" t="s">
        <v>78</v>
      </c>
      <c r="M28" t="s">
        <v>39</v>
      </c>
      <c r="N28" t="s">
        <v>78</v>
      </c>
      <c r="O28">
        <v>25000</v>
      </c>
    </row>
    <row r="29" spans="1:17" hidden="1">
      <c r="A29" t="s">
        <v>116</v>
      </c>
      <c r="B29" t="s">
        <v>117</v>
      </c>
      <c r="C29" t="s">
        <v>117</v>
      </c>
      <c r="E29" t="s">
        <v>50</v>
      </c>
      <c r="F29" t="s">
        <v>51</v>
      </c>
      <c r="I29" t="s">
        <v>39</v>
      </c>
      <c r="J29" t="s">
        <v>39</v>
      </c>
      <c r="L29" t="s">
        <v>39</v>
      </c>
      <c r="O29">
        <v>10000</v>
      </c>
      <c r="P29">
        <v>0.8</v>
      </c>
      <c r="Q29" t="s">
        <v>97</v>
      </c>
    </row>
    <row r="30" spans="1:17" ht="30" hidden="1">
      <c r="A30" t="s">
        <v>118</v>
      </c>
      <c r="B30" t="s">
        <v>119</v>
      </c>
      <c r="C30" t="s">
        <v>119</v>
      </c>
      <c r="E30" t="s">
        <v>120</v>
      </c>
      <c r="F30" t="s">
        <v>121</v>
      </c>
      <c r="G30" s="1" t="s">
        <v>122</v>
      </c>
      <c r="H30" t="s">
        <v>39</v>
      </c>
      <c r="I30" t="s">
        <v>39</v>
      </c>
      <c r="J30" t="s">
        <v>39</v>
      </c>
      <c r="K30" t="s">
        <v>44</v>
      </c>
      <c r="L30" t="s">
        <v>78</v>
      </c>
      <c r="Q30" t="s">
        <v>123</v>
      </c>
    </row>
    <row r="31" spans="1:17" hidden="1">
      <c r="A31" t="s">
        <v>124</v>
      </c>
      <c r="B31" t="s">
        <v>125</v>
      </c>
      <c r="C31" t="s">
        <v>125</v>
      </c>
      <c r="E31" t="s">
        <v>55</v>
      </c>
      <c r="F31" t="s">
        <v>126</v>
      </c>
      <c r="H31" t="s">
        <v>78</v>
      </c>
      <c r="I31" t="s">
        <v>77</v>
      </c>
      <c r="J31" t="s">
        <v>39</v>
      </c>
      <c r="K31" t="s">
        <v>78</v>
      </c>
      <c r="L31" t="s">
        <v>78</v>
      </c>
      <c r="M31" t="s">
        <v>39</v>
      </c>
    </row>
    <row r="32" spans="1:17" ht="30">
      <c r="A32" t="s">
        <v>127</v>
      </c>
      <c r="B32" t="s">
        <v>128</v>
      </c>
      <c r="C32" t="s">
        <v>128</v>
      </c>
      <c r="E32" t="s">
        <v>71</v>
      </c>
      <c r="F32" s="1" t="s">
        <v>129</v>
      </c>
    </row>
    <row r="33" spans="1:17" ht="30" hidden="1">
      <c r="A33" t="s">
        <v>130</v>
      </c>
      <c r="B33" t="s">
        <v>131</v>
      </c>
      <c r="C33" t="s">
        <v>92</v>
      </c>
      <c r="E33" t="s">
        <v>36</v>
      </c>
      <c r="F33" t="s">
        <v>132</v>
      </c>
      <c r="G33" s="1" t="s">
        <v>133</v>
      </c>
      <c r="H33" t="s">
        <v>39</v>
      </c>
      <c r="I33" t="s">
        <v>78</v>
      </c>
      <c r="J33" t="s">
        <v>39</v>
      </c>
      <c r="K33" t="s">
        <v>134</v>
      </c>
      <c r="L33" t="s">
        <v>134</v>
      </c>
      <c r="M33" t="s">
        <v>39</v>
      </c>
      <c r="N33" t="s">
        <v>39</v>
      </c>
      <c r="Q33" t="s">
        <v>135</v>
      </c>
    </row>
    <row r="34" spans="1:17" hidden="1">
      <c r="A34" t="s">
        <v>136</v>
      </c>
      <c r="B34" t="s">
        <v>137</v>
      </c>
      <c r="C34" t="s">
        <v>137</v>
      </c>
      <c r="E34" t="s">
        <v>55</v>
      </c>
      <c r="F34" t="s">
        <v>138</v>
      </c>
      <c r="H34" t="s">
        <v>78</v>
      </c>
      <c r="I34" t="s">
        <v>78</v>
      </c>
      <c r="J34" t="s">
        <v>39</v>
      </c>
      <c r="K34" t="s">
        <v>39</v>
      </c>
      <c r="L34" t="s">
        <v>78</v>
      </c>
      <c r="M34" t="s">
        <v>78</v>
      </c>
      <c r="Q34" t="s">
        <v>139</v>
      </c>
    </row>
    <row r="35" spans="1:17" hidden="1">
      <c r="A35" t="s">
        <v>140</v>
      </c>
      <c r="B35" t="s">
        <v>140</v>
      </c>
      <c r="C35" t="s">
        <v>77</v>
      </c>
      <c r="E35" t="s">
        <v>55</v>
      </c>
      <c r="F35" t="s">
        <v>115</v>
      </c>
      <c r="H35" t="s">
        <v>39</v>
      </c>
      <c r="I35" t="s">
        <v>77</v>
      </c>
      <c r="J35" t="s">
        <v>39</v>
      </c>
      <c r="K35" t="s">
        <v>44</v>
      </c>
      <c r="L35" t="s">
        <v>78</v>
      </c>
      <c r="M35" t="s">
        <v>141</v>
      </c>
      <c r="N35" t="s">
        <v>78</v>
      </c>
      <c r="O35">
        <v>0</v>
      </c>
    </row>
    <row r="36" spans="1:17" hidden="1">
      <c r="A36" t="s">
        <v>142</v>
      </c>
      <c r="B36" t="s">
        <v>143</v>
      </c>
      <c r="C36" t="s">
        <v>143</v>
      </c>
      <c r="E36" t="s">
        <v>55</v>
      </c>
      <c r="F36" t="s">
        <v>144</v>
      </c>
      <c r="H36" t="s">
        <v>78</v>
      </c>
      <c r="K36" t="s">
        <v>44</v>
      </c>
      <c r="Q36" t="s">
        <v>145</v>
      </c>
    </row>
    <row r="37" spans="1:17" hidden="1">
      <c r="A37" t="s">
        <v>146</v>
      </c>
      <c r="B37" t="s">
        <v>147</v>
      </c>
      <c r="C37" t="s">
        <v>92</v>
      </c>
      <c r="E37" t="s">
        <v>36</v>
      </c>
      <c r="F37" t="s">
        <v>148</v>
      </c>
      <c r="G37" t="s">
        <v>149</v>
      </c>
      <c r="H37" t="s">
        <v>39</v>
      </c>
      <c r="N37" t="s">
        <v>40</v>
      </c>
    </row>
    <row r="38" spans="1:17" hidden="1">
      <c r="A38" t="s">
        <v>150</v>
      </c>
      <c r="B38" t="s">
        <v>151</v>
      </c>
      <c r="C38" t="s">
        <v>92</v>
      </c>
      <c r="E38" t="s">
        <v>152</v>
      </c>
      <c r="F38" t="s">
        <v>153</v>
      </c>
      <c r="G38" t="s">
        <v>154</v>
      </c>
      <c r="H38" t="s">
        <v>39</v>
      </c>
      <c r="I38" t="s">
        <v>155</v>
      </c>
      <c r="J38" t="s">
        <v>40</v>
      </c>
      <c r="Q38" t="s">
        <v>156</v>
      </c>
    </row>
    <row r="39" spans="1:17" hidden="1">
      <c r="A39" t="s">
        <v>157</v>
      </c>
      <c r="B39" t="s">
        <v>157</v>
      </c>
      <c r="C39" t="s">
        <v>77</v>
      </c>
      <c r="E39" t="s">
        <v>55</v>
      </c>
      <c r="F39" t="s">
        <v>115</v>
      </c>
      <c r="H39" t="s">
        <v>39</v>
      </c>
      <c r="I39" t="s">
        <v>77</v>
      </c>
      <c r="J39" t="s">
        <v>39</v>
      </c>
      <c r="K39" t="s">
        <v>44</v>
      </c>
      <c r="L39" t="s">
        <v>78</v>
      </c>
      <c r="M39" t="s">
        <v>141</v>
      </c>
      <c r="N39" t="s">
        <v>78</v>
      </c>
      <c r="O39">
        <v>0</v>
      </c>
    </row>
    <row r="40" spans="1:17" hidden="1">
      <c r="A40" t="s">
        <v>158</v>
      </c>
      <c r="B40" t="s">
        <v>159</v>
      </c>
      <c r="C40" t="s">
        <v>160</v>
      </c>
      <c r="E40" t="s">
        <v>161</v>
      </c>
      <c r="F40" t="s">
        <v>162</v>
      </c>
      <c r="G40" t="s">
        <v>44</v>
      </c>
      <c r="H40" t="s">
        <v>44</v>
      </c>
      <c r="Q40" t="s">
        <v>163</v>
      </c>
    </row>
    <row r="41" spans="1:17" ht="60" hidden="1">
      <c r="A41" t="s">
        <v>164</v>
      </c>
      <c r="B41" t="s">
        <v>165</v>
      </c>
      <c r="C41" t="s">
        <v>92</v>
      </c>
      <c r="E41" t="s">
        <v>36</v>
      </c>
      <c r="F41" t="s">
        <v>166</v>
      </c>
      <c r="G41" s="1" t="s">
        <v>167</v>
      </c>
      <c r="H41" t="s">
        <v>39</v>
      </c>
      <c r="N41" t="s">
        <v>40</v>
      </c>
    </row>
    <row r="42" spans="1:17" hidden="1">
      <c r="A42" t="s">
        <v>168</v>
      </c>
      <c r="B42" t="s">
        <v>169</v>
      </c>
      <c r="C42" t="s">
        <v>170</v>
      </c>
      <c r="E42" t="s">
        <v>50</v>
      </c>
      <c r="F42" t="s">
        <v>51</v>
      </c>
      <c r="J42" t="s">
        <v>39</v>
      </c>
      <c r="M42" t="s">
        <v>39</v>
      </c>
      <c r="O42">
        <v>10000</v>
      </c>
      <c r="P42">
        <v>0.5</v>
      </c>
      <c r="Q42" t="s">
        <v>52</v>
      </c>
    </row>
    <row r="43" spans="1:17">
      <c r="A43" t="s">
        <v>171</v>
      </c>
      <c r="B43" t="s">
        <v>171</v>
      </c>
      <c r="C43" t="s">
        <v>171</v>
      </c>
      <c r="D43" t="s">
        <v>172</v>
      </c>
      <c r="E43" t="s">
        <v>71</v>
      </c>
      <c r="F43" t="s">
        <v>173</v>
      </c>
    </row>
    <row r="44" spans="1:17">
      <c r="A44" t="s">
        <v>174</v>
      </c>
      <c r="B44" t="s">
        <v>171</v>
      </c>
      <c r="C44" t="s">
        <v>171</v>
      </c>
      <c r="D44" t="s">
        <v>172</v>
      </c>
      <c r="E44" t="s">
        <v>71</v>
      </c>
      <c r="F44" t="s">
        <v>173</v>
      </c>
    </row>
    <row r="45" spans="1:17" ht="45" hidden="1">
      <c r="A45" t="s">
        <v>175</v>
      </c>
      <c r="B45" t="s">
        <v>176</v>
      </c>
      <c r="C45" t="s">
        <v>92</v>
      </c>
      <c r="E45" t="s">
        <v>152</v>
      </c>
      <c r="F45" t="s">
        <v>153</v>
      </c>
      <c r="G45" s="1" t="s">
        <v>177</v>
      </c>
      <c r="H45" t="s">
        <v>39</v>
      </c>
      <c r="I45" t="s">
        <v>77</v>
      </c>
      <c r="J45" t="s">
        <v>77</v>
      </c>
      <c r="K45" t="s">
        <v>77</v>
      </c>
      <c r="L45" t="s">
        <v>77</v>
      </c>
      <c r="M45" t="s">
        <v>77</v>
      </c>
      <c r="N45" t="s">
        <v>77</v>
      </c>
      <c r="O45" t="s">
        <v>77</v>
      </c>
      <c r="P45" t="s">
        <v>77</v>
      </c>
      <c r="Q45" t="s">
        <v>178</v>
      </c>
    </row>
    <row r="46" spans="1:17" ht="45" hidden="1">
      <c r="A46" t="s">
        <v>179</v>
      </c>
      <c r="B46" t="s">
        <v>180</v>
      </c>
      <c r="C46" t="s">
        <v>92</v>
      </c>
      <c r="E46" t="s">
        <v>152</v>
      </c>
      <c r="F46" t="s">
        <v>153</v>
      </c>
      <c r="G46" s="1" t="s">
        <v>181</v>
      </c>
      <c r="H46" t="s">
        <v>39</v>
      </c>
      <c r="Q46" t="s">
        <v>182</v>
      </c>
    </row>
    <row r="47" spans="1:17" hidden="1">
      <c r="A47" t="s">
        <v>183</v>
      </c>
      <c r="B47" t="s">
        <v>184</v>
      </c>
      <c r="C47" t="s">
        <v>92</v>
      </c>
      <c r="E47" t="s">
        <v>152</v>
      </c>
      <c r="F47" t="s">
        <v>153</v>
      </c>
      <c r="G47" t="s">
        <v>185</v>
      </c>
      <c r="H47" t="s">
        <v>39</v>
      </c>
    </row>
    <row r="48" spans="1:17" ht="30" hidden="1">
      <c r="A48" t="s">
        <v>186</v>
      </c>
      <c r="B48" t="s">
        <v>187</v>
      </c>
      <c r="C48" t="s">
        <v>92</v>
      </c>
      <c r="E48" t="s">
        <v>161</v>
      </c>
      <c r="F48" t="s">
        <v>188</v>
      </c>
      <c r="G48" s="1" t="s">
        <v>189</v>
      </c>
      <c r="H48" t="s">
        <v>39</v>
      </c>
      <c r="I48" t="s">
        <v>78</v>
      </c>
      <c r="J48" t="s">
        <v>39</v>
      </c>
      <c r="K48" t="s">
        <v>141</v>
      </c>
      <c r="L48" t="s">
        <v>141</v>
      </c>
      <c r="M48" t="s">
        <v>141</v>
      </c>
      <c r="N48" t="s">
        <v>141</v>
      </c>
      <c r="Q48" t="s">
        <v>190</v>
      </c>
    </row>
    <row r="49" spans="1:17" hidden="1">
      <c r="A49" t="s">
        <v>191</v>
      </c>
      <c r="B49" t="s">
        <v>191</v>
      </c>
      <c r="C49" t="s">
        <v>191</v>
      </c>
      <c r="E49" t="s">
        <v>50</v>
      </c>
      <c r="F49" t="s">
        <v>51</v>
      </c>
      <c r="I49" t="s">
        <v>39</v>
      </c>
      <c r="J49" t="s">
        <v>39</v>
      </c>
      <c r="L49" t="s">
        <v>39</v>
      </c>
      <c r="M49" t="s">
        <v>39</v>
      </c>
      <c r="O49">
        <v>10000</v>
      </c>
      <c r="P49">
        <v>0.5</v>
      </c>
      <c r="Q49" t="s">
        <v>97</v>
      </c>
    </row>
    <row r="50" spans="1:17" hidden="1">
      <c r="A50" t="s">
        <v>192</v>
      </c>
      <c r="B50" t="s">
        <v>193</v>
      </c>
      <c r="C50" t="s">
        <v>193</v>
      </c>
      <c r="E50" t="s">
        <v>120</v>
      </c>
      <c r="F50" t="s">
        <v>194</v>
      </c>
      <c r="G50" t="s">
        <v>77</v>
      </c>
      <c r="H50" t="s">
        <v>78</v>
      </c>
    </row>
    <row r="51" spans="1:17" hidden="1">
      <c r="A51" t="s">
        <v>195</v>
      </c>
      <c r="B51" t="s">
        <v>195</v>
      </c>
      <c r="C51" t="s">
        <v>195</v>
      </c>
      <c r="E51" t="s">
        <v>50</v>
      </c>
      <c r="F51" t="s">
        <v>51</v>
      </c>
      <c r="J51" t="s">
        <v>39</v>
      </c>
      <c r="M51" t="s">
        <v>39</v>
      </c>
      <c r="O51">
        <v>10000</v>
      </c>
      <c r="P51">
        <v>0.5</v>
      </c>
      <c r="Q51" t="s">
        <v>196</v>
      </c>
    </row>
    <row r="52" spans="1:17" hidden="1">
      <c r="A52" t="s">
        <v>197</v>
      </c>
      <c r="B52" t="s">
        <v>198</v>
      </c>
      <c r="C52" t="s">
        <v>92</v>
      </c>
      <c r="E52" t="s">
        <v>120</v>
      </c>
      <c r="F52" t="s">
        <v>199</v>
      </c>
      <c r="G52" t="s">
        <v>200</v>
      </c>
      <c r="H52" t="s">
        <v>78</v>
      </c>
      <c r="J52" t="s">
        <v>141</v>
      </c>
      <c r="K52" t="s">
        <v>141</v>
      </c>
      <c r="N52" t="s">
        <v>141</v>
      </c>
      <c r="Q52" t="s">
        <v>201</v>
      </c>
    </row>
    <row r="53" spans="1:17" hidden="1">
      <c r="A53" t="s">
        <v>202</v>
      </c>
      <c r="B53" t="s">
        <v>203</v>
      </c>
      <c r="C53" t="s">
        <v>92</v>
      </c>
      <c r="E53" t="s">
        <v>120</v>
      </c>
      <c r="F53" t="s">
        <v>204</v>
      </c>
      <c r="G53" t="s">
        <v>205</v>
      </c>
      <c r="H53" t="s">
        <v>206</v>
      </c>
      <c r="I53" t="s">
        <v>39</v>
      </c>
    </row>
    <row r="54" spans="1:17" hidden="1">
      <c r="A54" t="s">
        <v>207</v>
      </c>
      <c r="B54" t="s">
        <v>208</v>
      </c>
      <c r="C54" t="s">
        <v>92</v>
      </c>
      <c r="E54" t="s">
        <v>120</v>
      </c>
      <c r="F54" t="s">
        <v>204</v>
      </c>
      <c r="G54" t="s">
        <v>209</v>
      </c>
      <c r="H54" t="s">
        <v>206</v>
      </c>
      <c r="I54" t="s">
        <v>39</v>
      </c>
    </row>
    <row r="55" spans="1:17" hidden="1">
      <c r="A55" t="s">
        <v>210</v>
      </c>
      <c r="B55" t="s">
        <v>208</v>
      </c>
      <c r="C55" t="s">
        <v>92</v>
      </c>
      <c r="E55" t="s">
        <v>120</v>
      </c>
      <c r="F55" t="s">
        <v>204</v>
      </c>
      <c r="G55" t="s">
        <v>211</v>
      </c>
      <c r="H55" t="s">
        <v>206</v>
      </c>
      <c r="I55" t="s">
        <v>39</v>
      </c>
    </row>
    <row r="56" spans="1:17" ht="45" hidden="1">
      <c r="A56" t="s">
        <v>212</v>
      </c>
      <c r="B56" t="s">
        <v>208</v>
      </c>
      <c r="C56" t="s">
        <v>92</v>
      </c>
      <c r="E56" t="s">
        <v>120</v>
      </c>
      <c r="F56" t="s">
        <v>204</v>
      </c>
      <c r="G56" s="1" t="s">
        <v>213</v>
      </c>
      <c r="H56" t="s">
        <v>214</v>
      </c>
      <c r="I56" t="s">
        <v>39</v>
      </c>
    </row>
    <row r="57" spans="1:17" ht="30" hidden="1">
      <c r="A57" t="s">
        <v>215</v>
      </c>
      <c r="B57" t="s">
        <v>208</v>
      </c>
      <c r="C57" t="s">
        <v>92</v>
      </c>
      <c r="E57" t="s">
        <v>120</v>
      </c>
      <c r="F57" t="s">
        <v>204</v>
      </c>
      <c r="G57" s="1" t="s">
        <v>216</v>
      </c>
      <c r="H57" t="s">
        <v>206</v>
      </c>
      <c r="I57" t="s">
        <v>39</v>
      </c>
    </row>
    <row r="58" spans="1:17" ht="30" hidden="1">
      <c r="A58" t="s">
        <v>217</v>
      </c>
      <c r="B58" t="s">
        <v>208</v>
      </c>
      <c r="C58" t="s">
        <v>92</v>
      </c>
      <c r="E58" t="s">
        <v>120</v>
      </c>
      <c r="F58" t="s">
        <v>204</v>
      </c>
      <c r="G58" s="1" t="s">
        <v>218</v>
      </c>
      <c r="H58" t="s">
        <v>206</v>
      </c>
      <c r="I58" t="s">
        <v>39</v>
      </c>
    </row>
    <row r="59" spans="1:17" hidden="1">
      <c r="A59" t="s">
        <v>219</v>
      </c>
      <c r="B59" t="s">
        <v>208</v>
      </c>
      <c r="C59" t="s">
        <v>92</v>
      </c>
      <c r="E59" t="s">
        <v>120</v>
      </c>
      <c r="F59" t="s">
        <v>204</v>
      </c>
      <c r="G59" t="s">
        <v>220</v>
      </c>
      <c r="H59" t="s">
        <v>206</v>
      </c>
      <c r="I59" t="s">
        <v>39</v>
      </c>
    </row>
    <row r="60" spans="1:17" hidden="1">
      <c r="A60" t="s">
        <v>221</v>
      </c>
      <c r="B60" t="s">
        <v>208</v>
      </c>
      <c r="C60" t="s">
        <v>92</v>
      </c>
      <c r="E60" t="s">
        <v>120</v>
      </c>
      <c r="F60" t="s">
        <v>204</v>
      </c>
      <c r="G60" t="s">
        <v>220</v>
      </c>
      <c r="H60" t="s">
        <v>206</v>
      </c>
      <c r="I60" t="s">
        <v>39</v>
      </c>
    </row>
    <row r="61" spans="1:17" hidden="1">
      <c r="A61" t="s">
        <v>222</v>
      </c>
      <c r="B61" t="s">
        <v>223</v>
      </c>
      <c r="C61" t="s">
        <v>223</v>
      </c>
      <c r="D61" t="s">
        <v>224</v>
      </c>
      <c r="E61" t="s">
        <v>60</v>
      </c>
      <c r="F61" t="s">
        <v>225</v>
      </c>
      <c r="G61" t="s">
        <v>62</v>
      </c>
      <c r="H61" t="s">
        <v>78</v>
      </c>
      <c r="I61" t="s">
        <v>63</v>
      </c>
      <c r="J61" t="s">
        <v>226</v>
      </c>
      <c r="K61" t="s">
        <v>227</v>
      </c>
      <c r="L61" t="s">
        <v>227</v>
      </c>
      <c r="M61" t="s">
        <v>227</v>
      </c>
      <c r="N61" t="s">
        <v>227</v>
      </c>
      <c r="O61">
        <v>0</v>
      </c>
      <c r="P61">
        <v>0.9</v>
      </c>
      <c r="Q61" t="s">
        <v>228</v>
      </c>
    </row>
    <row r="62" spans="1:17" hidden="1">
      <c r="A62" t="s">
        <v>229</v>
      </c>
      <c r="B62" t="s">
        <v>223</v>
      </c>
      <c r="C62" t="s">
        <v>223</v>
      </c>
      <c r="D62" t="s">
        <v>224</v>
      </c>
      <c r="E62" t="s">
        <v>60</v>
      </c>
      <c r="F62" t="s">
        <v>225</v>
      </c>
      <c r="G62" t="s">
        <v>62</v>
      </c>
      <c r="H62" t="s">
        <v>78</v>
      </c>
      <c r="I62" t="s">
        <v>63</v>
      </c>
      <c r="J62" t="s">
        <v>226</v>
      </c>
      <c r="K62" t="s">
        <v>227</v>
      </c>
      <c r="L62" t="s">
        <v>227</v>
      </c>
      <c r="M62" t="s">
        <v>227</v>
      </c>
      <c r="N62" t="s">
        <v>227</v>
      </c>
      <c r="O62">
        <v>0</v>
      </c>
      <c r="P62">
        <v>0.9</v>
      </c>
      <c r="Q62" t="s">
        <v>228</v>
      </c>
    </row>
    <row r="63" spans="1:17" hidden="1">
      <c r="A63" t="s">
        <v>230</v>
      </c>
      <c r="B63" t="s">
        <v>223</v>
      </c>
      <c r="C63" t="s">
        <v>223</v>
      </c>
      <c r="D63" t="s">
        <v>224</v>
      </c>
      <c r="E63" t="s">
        <v>60</v>
      </c>
      <c r="F63" t="s">
        <v>225</v>
      </c>
      <c r="G63" t="s">
        <v>62</v>
      </c>
      <c r="H63" t="s">
        <v>78</v>
      </c>
      <c r="I63" t="s">
        <v>63</v>
      </c>
      <c r="J63" t="s">
        <v>226</v>
      </c>
      <c r="K63" t="s">
        <v>227</v>
      </c>
      <c r="L63" t="s">
        <v>227</v>
      </c>
      <c r="M63" t="s">
        <v>227</v>
      </c>
      <c r="N63" t="s">
        <v>227</v>
      </c>
      <c r="O63">
        <v>0</v>
      </c>
      <c r="P63">
        <v>0.9</v>
      </c>
      <c r="Q63" t="s">
        <v>228</v>
      </c>
    </row>
    <row r="64" spans="1:17" hidden="1">
      <c r="A64" t="s">
        <v>231</v>
      </c>
      <c r="B64" t="s">
        <v>223</v>
      </c>
      <c r="C64" t="s">
        <v>223</v>
      </c>
      <c r="D64" t="s">
        <v>224</v>
      </c>
      <c r="E64" t="s">
        <v>60</v>
      </c>
      <c r="F64" t="s">
        <v>225</v>
      </c>
      <c r="G64" t="s">
        <v>62</v>
      </c>
      <c r="H64" t="s">
        <v>78</v>
      </c>
      <c r="I64" t="s">
        <v>63</v>
      </c>
      <c r="J64" t="s">
        <v>226</v>
      </c>
      <c r="K64" t="s">
        <v>227</v>
      </c>
      <c r="L64" t="s">
        <v>227</v>
      </c>
      <c r="M64" t="s">
        <v>227</v>
      </c>
      <c r="N64" t="s">
        <v>227</v>
      </c>
      <c r="O64">
        <v>0</v>
      </c>
      <c r="P64">
        <v>0.9</v>
      </c>
      <c r="Q64" t="s">
        <v>228</v>
      </c>
    </row>
    <row r="65" spans="1:17" hidden="1">
      <c r="A65" t="s">
        <v>232</v>
      </c>
      <c r="B65" t="s">
        <v>223</v>
      </c>
      <c r="C65" t="s">
        <v>223</v>
      </c>
      <c r="D65" t="s">
        <v>224</v>
      </c>
      <c r="E65" t="s">
        <v>60</v>
      </c>
      <c r="F65" t="s">
        <v>225</v>
      </c>
      <c r="G65" t="s">
        <v>62</v>
      </c>
      <c r="H65" t="s">
        <v>78</v>
      </c>
      <c r="I65" t="s">
        <v>63</v>
      </c>
      <c r="J65" t="s">
        <v>226</v>
      </c>
      <c r="K65" t="s">
        <v>227</v>
      </c>
      <c r="L65" t="s">
        <v>227</v>
      </c>
      <c r="M65" t="s">
        <v>227</v>
      </c>
      <c r="N65" t="s">
        <v>227</v>
      </c>
      <c r="O65">
        <v>0</v>
      </c>
      <c r="P65">
        <v>0.9</v>
      </c>
      <c r="Q65" t="s">
        <v>228</v>
      </c>
    </row>
    <row r="66" spans="1:17" hidden="1">
      <c r="A66" t="s">
        <v>233</v>
      </c>
      <c r="B66" t="s">
        <v>223</v>
      </c>
      <c r="C66" t="s">
        <v>223</v>
      </c>
      <c r="D66" t="s">
        <v>224</v>
      </c>
      <c r="E66" t="s">
        <v>60</v>
      </c>
      <c r="F66" t="s">
        <v>225</v>
      </c>
      <c r="G66" t="s">
        <v>62</v>
      </c>
      <c r="H66" t="s">
        <v>78</v>
      </c>
      <c r="I66" t="s">
        <v>63</v>
      </c>
      <c r="J66" t="s">
        <v>226</v>
      </c>
      <c r="K66" t="s">
        <v>227</v>
      </c>
      <c r="L66" t="s">
        <v>227</v>
      </c>
      <c r="M66" t="s">
        <v>227</v>
      </c>
      <c r="N66" t="s">
        <v>227</v>
      </c>
      <c r="O66">
        <v>0</v>
      </c>
      <c r="P66">
        <v>0.9</v>
      </c>
      <c r="Q66" t="s">
        <v>228</v>
      </c>
    </row>
    <row r="67" spans="1:17" hidden="1">
      <c r="A67" t="s">
        <v>234</v>
      </c>
      <c r="B67" t="s">
        <v>223</v>
      </c>
      <c r="C67" t="s">
        <v>223</v>
      </c>
      <c r="D67" t="s">
        <v>224</v>
      </c>
      <c r="E67" t="s">
        <v>60</v>
      </c>
      <c r="F67" t="s">
        <v>225</v>
      </c>
      <c r="G67" t="s">
        <v>62</v>
      </c>
      <c r="H67" t="s">
        <v>78</v>
      </c>
      <c r="I67" t="s">
        <v>63</v>
      </c>
      <c r="J67" t="s">
        <v>226</v>
      </c>
      <c r="K67" t="s">
        <v>227</v>
      </c>
      <c r="L67" t="s">
        <v>227</v>
      </c>
      <c r="M67" t="s">
        <v>227</v>
      </c>
      <c r="N67" t="s">
        <v>227</v>
      </c>
      <c r="O67">
        <v>0</v>
      </c>
      <c r="P67">
        <v>0.9</v>
      </c>
      <c r="Q67" t="s">
        <v>228</v>
      </c>
    </row>
    <row r="68" spans="1:17" hidden="1">
      <c r="A68" t="s">
        <v>235</v>
      </c>
      <c r="B68" t="s">
        <v>223</v>
      </c>
      <c r="C68" t="s">
        <v>223</v>
      </c>
      <c r="D68" t="s">
        <v>224</v>
      </c>
      <c r="E68" t="s">
        <v>60</v>
      </c>
      <c r="F68" t="s">
        <v>225</v>
      </c>
      <c r="G68" t="s">
        <v>62</v>
      </c>
      <c r="H68" t="s">
        <v>78</v>
      </c>
      <c r="I68" t="s">
        <v>63</v>
      </c>
      <c r="J68" t="s">
        <v>226</v>
      </c>
      <c r="K68" t="s">
        <v>227</v>
      </c>
      <c r="L68" t="s">
        <v>227</v>
      </c>
      <c r="M68" t="s">
        <v>227</v>
      </c>
      <c r="N68" t="s">
        <v>227</v>
      </c>
      <c r="O68">
        <v>0</v>
      </c>
      <c r="P68">
        <v>0.9</v>
      </c>
      <c r="Q68" t="s">
        <v>228</v>
      </c>
    </row>
    <row r="69" spans="1:17" hidden="1">
      <c r="A69" t="s">
        <v>236</v>
      </c>
      <c r="B69" t="s">
        <v>223</v>
      </c>
      <c r="C69" t="s">
        <v>223</v>
      </c>
      <c r="D69" t="s">
        <v>224</v>
      </c>
      <c r="E69" t="s">
        <v>60</v>
      </c>
      <c r="F69" t="s">
        <v>225</v>
      </c>
      <c r="G69" t="s">
        <v>62</v>
      </c>
      <c r="H69" t="s">
        <v>78</v>
      </c>
      <c r="I69" t="s">
        <v>63</v>
      </c>
      <c r="J69" t="s">
        <v>226</v>
      </c>
      <c r="K69" t="s">
        <v>227</v>
      </c>
      <c r="L69" t="s">
        <v>227</v>
      </c>
      <c r="M69" t="s">
        <v>227</v>
      </c>
      <c r="N69" t="s">
        <v>227</v>
      </c>
      <c r="O69">
        <v>0</v>
      </c>
      <c r="P69">
        <v>0.9</v>
      </c>
      <c r="Q69" t="s">
        <v>228</v>
      </c>
    </row>
    <row r="70" spans="1:17" hidden="1">
      <c r="A70" t="s">
        <v>237</v>
      </c>
      <c r="B70" t="s">
        <v>223</v>
      </c>
      <c r="C70" t="s">
        <v>223</v>
      </c>
      <c r="D70" t="s">
        <v>224</v>
      </c>
      <c r="E70" t="s">
        <v>60</v>
      </c>
      <c r="F70" t="s">
        <v>225</v>
      </c>
      <c r="G70" t="s">
        <v>62</v>
      </c>
      <c r="H70" t="s">
        <v>78</v>
      </c>
      <c r="I70" t="s">
        <v>63</v>
      </c>
      <c r="J70" t="s">
        <v>226</v>
      </c>
      <c r="K70" t="s">
        <v>227</v>
      </c>
      <c r="L70" t="s">
        <v>227</v>
      </c>
      <c r="M70" t="s">
        <v>227</v>
      </c>
      <c r="N70" t="s">
        <v>227</v>
      </c>
      <c r="O70">
        <v>0</v>
      </c>
      <c r="P70">
        <v>0.9</v>
      </c>
      <c r="Q70" t="s">
        <v>228</v>
      </c>
    </row>
    <row r="71" spans="1:17" hidden="1">
      <c r="A71" t="s">
        <v>238</v>
      </c>
      <c r="B71" t="s">
        <v>223</v>
      </c>
      <c r="C71" t="s">
        <v>223</v>
      </c>
      <c r="D71" t="s">
        <v>224</v>
      </c>
      <c r="E71" t="s">
        <v>60</v>
      </c>
      <c r="F71" t="s">
        <v>225</v>
      </c>
      <c r="G71" t="s">
        <v>62</v>
      </c>
      <c r="H71" t="s">
        <v>78</v>
      </c>
      <c r="I71" t="s">
        <v>63</v>
      </c>
      <c r="J71" t="s">
        <v>226</v>
      </c>
      <c r="K71" t="s">
        <v>227</v>
      </c>
      <c r="L71" t="s">
        <v>227</v>
      </c>
      <c r="M71" t="s">
        <v>227</v>
      </c>
      <c r="N71" t="s">
        <v>227</v>
      </c>
      <c r="O71">
        <v>0</v>
      </c>
      <c r="P71">
        <v>0.9</v>
      </c>
      <c r="Q71" t="s">
        <v>228</v>
      </c>
    </row>
    <row r="72" spans="1:17" hidden="1">
      <c r="A72" t="s">
        <v>239</v>
      </c>
      <c r="B72" t="s">
        <v>223</v>
      </c>
      <c r="C72" t="s">
        <v>223</v>
      </c>
      <c r="D72" t="s">
        <v>224</v>
      </c>
      <c r="E72" t="s">
        <v>60</v>
      </c>
      <c r="F72" t="s">
        <v>225</v>
      </c>
      <c r="G72" t="s">
        <v>62</v>
      </c>
      <c r="H72" t="s">
        <v>78</v>
      </c>
      <c r="I72" t="s">
        <v>63</v>
      </c>
      <c r="J72" t="s">
        <v>226</v>
      </c>
      <c r="K72" t="s">
        <v>227</v>
      </c>
      <c r="L72" t="s">
        <v>227</v>
      </c>
      <c r="M72" t="s">
        <v>227</v>
      </c>
      <c r="N72" t="s">
        <v>227</v>
      </c>
      <c r="O72">
        <v>0</v>
      </c>
      <c r="P72">
        <v>0.9</v>
      </c>
      <c r="Q72" t="s">
        <v>228</v>
      </c>
    </row>
    <row r="73" spans="1:17" hidden="1">
      <c r="A73" t="s">
        <v>240</v>
      </c>
      <c r="B73" t="s">
        <v>223</v>
      </c>
      <c r="C73" t="s">
        <v>223</v>
      </c>
      <c r="D73" t="s">
        <v>224</v>
      </c>
      <c r="E73" t="s">
        <v>60</v>
      </c>
      <c r="F73" t="s">
        <v>225</v>
      </c>
      <c r="G73" t="s">
        <v>62</v>
      </c>
      <c r="H73" t="s">
        <v>78</v>
      </c>
      <c r="I73" t="s">
        <v>63</v>
      </c>
      <c r="J73" t="s">
        <v>226</v>
      </c>
      <c r="K73" t="s">
        <v>227</v>
      </c>
      <c r="L73" t="s">
        <v>227</v>
      </c>
      <c r="M73" t="s">
        <v>227</v>
      </c>
      <c r="N73" t="s">
        <v>227</v>
      </c>
      <c r="O73">
        <v>0</v>
      </c>
      <c r="P73">
        <v>0.9</v>
      </c>
      <c r="Q73" t="s">
        <v>228</v>
      </c>
    </row>
    <row r="74" spans="1:17" hidden="1">
      <c r="A74" t="s">
        <v>241</v>
      </c>
      <c r="B74" t="s">
        <v>223</v>
      </c>
      <c r="C74" t="s">
        <v>223</v>
      </c>
      <c r="D74" t="s">
        <v>224</v>
      </c>
      <c r="E74" t="s">
        <v>60</v>
      </c>
      <c r="F74" t="s">
        <v>225</v>
      </c>
      <c r="G74" t="s">
        <v>62</v>
      </c>
      <c r="H74" t="s">
        <v>78</v>
      </c>
      <c r="I74" t="s">
        <v>63</v>
      </c>
      <c r="J74" t="s">
        <v>226</v>
      </c>
      <c r="K74" t="s">
        <v>227</v>
      </c>
      <c r="L74" t="s">
        <v>227</v>
      </c>
      <c r="M74" t="s">
        <v>227</v>
      </c>
      <c r="N74" t="s">
        <v>227</v>
      </c>
      <c r="O74">
        <v>0</v>
      </c>
      <c r="P74">
        <v>0.9</v>
      </c>
      <c r="Q74" t="s">
        <v>228</v>
      </c>
    </row>
    <row r="75" spans="1:17" hidden="1">
      <c r="A75" t="s">
        <v>242</v>
      </c>
      <c r="B75" t="s">
        <v>223</v>
      </c>
      <c r="C75" t="s">
        <v>223</v>
      </c>
      <c r="D75" t="s">
        <v>224</v>
      </c>
      <c r="E75" t="s">
        <v>60</v>
      </c>
      <c r="F75" t="s">
        <v>225</v>
      </c>
      <c r="G75" t="s">
        <v>62</v>
      </c>
      <c r="H75" t="s">
        <v>78</v>
      </c>
      <c r="I75" t="s">
        <v>63</v>
      </c>
      <c r="J75" t="s">
        <v>226</v>
      </c>
      <c r="K75" t="s">
        <v>227</v>
      </c>
      <c r="L75" t="s">
        <v>227</v>
      </c>
      <c r="M75" t="s">
        <v>227</v>
      </c>
      <c r="N75" t="s">
        <v>227</v>
      </c>
      <c r="O75">
        <v>0</v>
      </c>
      <c r="P75">
        <v>0.9</v>
      </c>
      <c r="Q75" t="s">
        <v>228</v>
      </c>
    </row>
    <row r="76" spans="1:17" ht="45">
      <c r="A76" t="s">
        <v>80</v>
      </c>
      <c r="B76" t="s">
        <v>243</v>
      </c>
      <c r="C76" t="s">
        <v>243</v>
      </c>
      <c r="E76" t="s">
        <v>71</v>
      </c>
      <c r="F76" s="1" t="s">
        <v>244</v>
      </c>
    </row>
    <row r="77" spans="1:17" hidden="1">
      <c r="A77" t="s">
        <v>245</v>
      </c>
      <c r="B77" t="s">
        <v>246</v>
      </c>
      <c r="C77" t="s">
        <v>247</v>
      </c>
      <c r="E77" t="s">
        <v>120</v>
      </c>
      <c r="F77" t="s">
        <v>248</v>
      </c>
      <c r="G77" t="s">
        <v>249</v>
      </c>
      <c r="H77" t="s">
        <v>39</v>
      </c>
      <c r="I77" t="s">
        <v>39</v>
      </c>
      <c r="J77" t="s">
        <v>141</v>
      </c>
      <c r="K77" t="s">
        <v>78</v>
      </c>
    </row>
    <row r="78" spans="1:17" hidden="1">
      <c r="A78" t="s">
        <v>250</v>
      </c>
      <c r="B78" t="s">
        <v>251</v>
      </c>
      <c r="C78" t="s">
        <v>251</v>
      </c>
      <c r="E78" t="s">
        <v>161</v>
      </c>
      <c r="F78" t="s">
        <v>252</v>
      </c>
      <c r="G78" t="s">
        <v>253</v>
      </c>
      <c r="H78" t="s">
        <v>39</v>
      </c>
      <c r="I78" t="s">
        <v>39</v>
      </c>
      <c r="J78" t="s">
        <v>40</v>
      </c>
      <c r="L78" t="s">
        <v>39</v>
      </c>
      <c r="Q78" t="s">
        <v>254</v>
      </c>
    </row>
    <row r="79" spans="1:17" hidden="1">
      <c r="A79" t="s">
        <v>255</v>
      </c>
      <c r="B79" t="s">
        <v>255</v>
      </c>
      <c r="C79" t="s">
        <v>255</v>
      </c>
      <c r="E79" t="s">
        <v>50</v>
      </c>
      <c r="F79" t="s">
        <v>51</v>
      </c>
      <c r="J79" t="s">
        <v>39</v>
      </c>
      <c r="M79" t="s">
        <v>39</v>
      </c>
      <c r="O79">
        <v>10000</v>
      </c>
      <c r="P79">
        <v>0.5</v>
      </c>
      <c r="Q79" t="s">
        <v>256</v>
      </c>
    </row>
    <row r="80" spans="1:17">
      <c r="A80" t="s">
        <v>257</v>
      </c>
      <c r="B80" t="s">
        <v>258</v>
      </c>
      <c r="C80" t="s">
        <v>258</v>
      </c>
      <c r="D80" t="s">
        <v>100</v>
      </c>
      <c r="E80" t="s">
        <v>71</v>
      </c>
      <c r="F80" t="s">
        <v>259</v>
      </c>
    </row>
    <row r="81" spans="1:17" ht="30" hidden="1">
      <c r="A81" t="s">
        <v>260</v>
      </c>
      <c r="B81" t="s">
        <v>261</v>
      </c>
      <c r="C81" t="s">
        <v>261</v>
      </c>
      <c r="E81" t="s">
        <v>71</v>
      </c>
      <c r="F81" s="1" t="s">
        <v>262</v>
      </c>
    </row>
    <row r="82" spans="1:17" hidden="1">
      <c r="A82" t="s">
        <v>263</v>
      </c>
      <c r="B82" t="s">
        <v>264</v>
      </c>
      <c r="E82" t="s">
        <v>161</v>
      </c>
      <c r="F82" t="s">
        <v>265</v>
      </c>
      <c r="G82" t="s">
        <v>266</v>
      </c>
      <c r="H82" t="s">
        <v>39</v>
      </c>
    </row>
    <row r="83" spans="1:17" hidden="1">
      <c r="A83" t="s">
        <v>267</v>
      </c>
      <c r="B83" t="s">
        <v>268</v>
      </c>
      <c r="C83" t="s">
        <v>268</v>
      </c>
      <c r="E83" t="s">
        <v>120</v>
      </c>
      <c r="F83" t="s">
        <v>269</v>
      </c>
      <c r="G83" t="s">
        <v>270</v>
      </c>
      <c r="H83" t="s">
        <v>39</v>
      </c>
    </row>
    <row r="84" spans="1:17" hidden="1">
      <c r="A84" t="s">
        <v>271</v>
      </c>
      <c r="B84" t="s">
        <v>271</v>
      </c>
      <c r="C84" t="s">
        <v>271</v>
      </c>
      <c r="E84" t="s">
        <v>50</v>
      </c>
      <c r="F84" t="s">
        <v>51</v>
      </c>
      <c r="I84" t="s">
        <v>39</v>
      </c>
      <c r="J84" t="s">
        <v>39</v>
      </c>
      <c r="M84" t="s">
        <v>39</v>
      </c>
      <c r="N84" t="s">
        <v>62</v>
      </c>
      <c r="O84">
        <v>75000</v>
      </c>
      <c r="P84">
        <v>0.75</v>
      </c>
      <c r="Q84" t="s">
        <v>272</v>
      </c>
    </row>
    <row r="85" spans="1:17" hidden="1">
      <c r="A85" t="s">
        <v>273</v>
      </c>
      <c r="B85" t="s">
        <v>274</v>
      </c>
      <c r="C85" t="s">
        <v>274</v>
      </c>
      <c r="D85" t="s">
        <v>275</v>
      </c>
      <c r="E85" t="s">
        <v>71</v>
      </c>
      <c r="F85" t="s">
        <v>276</v>
      </c>
    </row>
    <row r="86" spans="1:17" hidden="1">
      <c r="A86" t="s">
        <v>277</v>
      </c>
      <c r="B86" t="s">
        <v>278</v>
      </c>
      <c r="C86" t="s">
        <v>77</v>
      </c>
      <c r="E86" t="s">
        <v>55</v>
      </c>
      <c r="F86" t="s">
        <v>115</v>
      </c>
      <c r="H86" t="s">
        <v>39</v>
      </c>
      <c r="I86" t="s">
        <v>77</v>
      </c>
      <c r="J86" t="s">
        <v>39</v>
      </c>
      <c r="K86" t="s">
        <v>44</v>
      </c>
      <c r="L86" t="s">
        <v>78</v>
      </c>
      <c r="M86" t="s">
        <v>141</v>
      </c>
      <c r="N86" t="s">
        <v>78</v>
      </c>
      <c r="O86">
        <v>0</v>
      </c>
    </row>
    <row r="87" spans="1:17" hidden="1">
      <c r="A87" t="s">
        <v>279</v>
      </c>
      <c r="B87" t="s">
        <v>280</v>
      </c>
      <c r="C87" t="s">
        <v>280</v>
      </c>
      <c r="E87" t="s">
        <v>111</v>
      </c>
      <c r="F87" t="s">
        <v>112</v>
      </c>
    </row>
    <row r="88" spans="1:17" hidden="1">
      <c r="A88" t="s">
        <v>281</v>
      </c>
      <c r="B88" t="s">
        <v>281</v>
      </c>
      <c r="C88" t="s">
        <v>281</v>
      </c>
      <c r="E88" t="s">
        <v>50</v>
      </c>
      <c r="F88" t="s">
        <v>51</v>
      </c>
      <c r="J88" t="s">
        <v>39</v>
      </c>
      <c r="M88" t="s">
        <v>39</v>
      </c>
      <c r="O88">
        <v>0</v>
      </c>
      <c r="P88">
        <v>0.5</v>
      </c>
      <c r="Q88" t="s">
        <v>282</v>
      </c>
    </row>
    <row r="89" spans="1:17" hidden="1">
      <c r="A89" t="s">
        <v>283</v>
      </c>
      <c r="B89" t="s">
        <v>284</v>
      </c>
      <c r="C89" t="s">
        <v>284</v>
      </c>
      <c r="E89" t="s">
        <v>55</v>
      </c>
      <c r="F89" t="s">
        <v>285</v>
      </c>
      <c r="H89" t="s">
        <v>77</v>
      </c>
      <c r="I89" t="s">
        <v>77</v>
      </c>
      <c r="J89" t="s">
        <v>78</v>
      </c>
      <c r="K89" t="s">
        <v>78</v>
      </c>
      <c r="L89" t="s">
        <v>78</v>
      </c>
      <c r="M89" t="s">
        <v>77</v>
      </c>
      <c r="N89" t="s">
        <v>78</v>
      </c>
      <c r="O89">
        <v>0</v>
      </c>
    </row>
    <row r="90" spans="1:17">
      <c r="A90" t="s">
        <v>286</v>
      </c>
      <c r="B90" t="s">
        <v>287</v>
      </c>
      <c r="C90" t="s">
        <v>287</v>
      </c>
      <c r="E90" t="s">
        <v>71</v>
      </c>
      <c r="F90" t="s">
        <v>288</v>
      </c>
    </row>
    <row r="91" spans="1:17" hidden="1">
      <c r="A91" t="s">
        <v>289</v>
      </c>
      <c r="B91" t="s">
        <v>289</v>
      </c>
      <c r="C91" t="s">
        <v>289</v>
      </c>
      <c r="D91" t="s">
        <v>290</v>
      </c>
      <c r="E91" t="s">
        <v>71</v>
      </c>
      <c r="F91" t="s">
        <v>138</v>
      </c>
    </row>
    <row r="92" spans="1:17" ht="45">
      <c r="A92" t="s">
        <v>80</v>
      </c>
      <c r="B92" t="s">
        <v>291</v>
      </c>
      <c r="C92" t="s">
        <v>291</v>
      </c>
      <c r="E92" t="s">
        <v>71</v>
      </c>
      <c r="F92" s="1" t="s">
        <v>292</v>
      </c>
    </row>
    <row r="93" spans="1:17" hidden="1">
      <c r="A93" t="s">
        <v>293</v>
      </c>
      <c r="B93" t="s">
        <v>294</v>
      </c>
      <c r="C93" t="s">
        <v>92</v>
      </c>
      <c r="E93" t="s">
        <v>295</v>
      </c>
      <c r="F93" t="s">
        <v>296</v>
      </c>
      <c r="H93" t="s">
        <v>39</v>
      </c>
      <c r="I93" t="s">
        <v>39</v>
      </c>
      <c r="J93" t="s">
        <v>39</v>
      </c>
      <c r="K93" t="s">
        <v>78</v>
      </c>
      <c r="L93" t="s">
        <v>78</v>
      </c>
    </row>
    <row r="94" spans="1:17" hidden="1">
      <c r="A94" t="s">
        <v>297</v>
      </c>
      <c r="B94" t="s">
        <v>294</v>
      </c>
      <c r="C94" t="s">
        <v>92</v>
      </c>
      <c r="E94" t="s">
        <v>295</v>
      </c>
      <c r="F94" t="s">
        <v>296</v>
      </c>
      <c r="H94" t="s">
        <v>39</v>
      </c>
      <c r="I94" t="s">
        <v>39</v>
      </c>
      <c r="J94" t="s">
        <v>39</v>
      </c>
      <c r="K94" t="s">
        <v>78</v>
      </c>
      <c r="L94" t="s">
        <v>78</v>
      </c>
    </row>
    <row r="95" spans="1:17" hidden="1">
      <c r="A95" t="s">
        <v>298</v>
      </c>
      <c r="B95" t="s">
        <v>294</v>
      </c>
      <c r="C95" t="s">
        <v>92</v>
      </c>
      <c r="E95" t="s">
        <v>295</v>
      </c>
      <c r="F95" t="s">
        <v>296</v>
      </c>
      <c r="G95" t="s">
        <v>299</v>
      </c>
      <c r="H95" t="s">
        <v>39</v>
      </c>
      <c r="I95" t="s">
        <v>39</v>
      </c>
      <c r="J95" t="s">
        <v>39</v>
      </c>
      <c r="K95" t="s">
        <v>78</v>
      </c>
      <c r="L95" t="s">
        <v>78</v>
      </c>
    </row>
    <row r="96" spans="1:17" hidden="1">
      <c r="A96" t="s">
        <v>300</v>
      </c>
      <c r="B96" t="s">
        <v>294</v>
      </c>
      <c r="C96" t="s">
        <v>92</v>
      </c>
      <c r="E96" t="s">
        <v>295</v>
      </c>
      <c r="F96" t="s">
        <v>296</v>
      </c>
      <c r="G96" t="s">
        <v>299</v>
      </c>
      <c r="H96" t="s">
        <v>39</v>
      </c>
      <c r="I96" t="s">
        <v>39</v>
      </c>
      <c r="J96" t="s">
        <v>39</v>
      </c>
      <c r="K96" t="s">
        <v>78</v>
      </c>
      <c r="L96" t="s">
        <v>78</v>
      </c>
    </row>
    <row r="97" spans="1:12" hidden="1">
      <c r="A97" t="s">
        <v>301</v>
      </c>
      <c r="B97" t="s">
        <v>294</v>
      </c>
      <c r="C97" t="s">
        <v>92</v>
      </c>
      <c r="E97" t="s">
        <v>295</v>
      </c>
      <c r="F97" t="s">
        <v>296</v>
      </c>
      <c r="G97" t="s">
        <v>299</v>
      </c>
      <c r="H97" t="s">
        <v>39</v>
      </c>
      <c r="I97" t="s">
        <v>39</v>
      </c>
      <c r="J97" t="s">
        <v>39</v>
      </c>
      <c r="K97" t="s">
        <v>78</v>
      </c>
      <c r="L97" t="s">
        <v>78</v>
      </c>
    </row>
    <row r="98" spans="1:12" hidden="1">
      <c r="A98" t="s">
        <v>302</v>
      </c>
      <c r="B98" t="s">
        <v>294</v>
      </c>
      <c r="C98" t="s">
        <v>92</v>
      </c>
      <c r="E98" t="s">
        <v>295</v>
      </c>
      <c r="F98" t="s">
        <v>296</v>
      </c>
      <c r="G98" t="s">
        <v>299</v>
      </c>
      <c r="H98" t="s">
        <v>39</v>
      </c>
      <c r="I98" t="s">
        <v>39</v>
      </c>
      <c r="J98" t="s">
        <v>39</v>
      </c>
      <c r="K98" t="s">
        <v>78</v>
      </c>
      <c r="L98" t="s">
        <v>78</v>
      </c>
    </row>
    <row r="99" spans="1:12" hidden="1">
      <c r="A99" t="s">
        <v>303</v>
      </c>
      <c r="B99" t="s">
        <v>294</v>
      </c>
      <c r="C99" t="s">
        <v>92</v>
      </c>
      <c r="E99" t="s">
        <v>295</v>
      </c>
      <c r="F99" t="s">
        <v>296</v>
      </c>
      <c r="G99" t="s">
        <v>299</v>
      </c>
      <c r="H99" t="s">
        <v>39</v>
      </c>
      <c r="I99" t="s">
        <v>39</v>
      </c>
      <c r="J99" t="s">
        <v>39</v>
      </c>
      <c r="K99" t="s">
        <v>78</v>
      </c>
      <c r="L99" t="s">
        <v>78</v>
      </c>
    </row>
    <row r="100" spans="1:12" hidden="1">
      <c r="A100" t="s">
        <v>304</v>
      </c>
      <c r="B100" t="s">
        <v>294</v>
      </c>
      <c r="C100" t="s">
        <v>92</v>
      </c>
      <c r="E100" t="s">
        <v>295</v>
      </c>
      <c r="F100" t="s">
        <v>296</v>
      </c>
      <c r="G100" t="s">
        <v>299</v>
      </c>
      <c r="H100" t="s">
        <v>39</v>
      </c>
      <c r="I100" t="s">
        <v>39</v>
      </c>
      <c r="J100" t="s">
        <v>39</v>
      </c>
      <c r="K100" t="s">
        <v>78</v>
      </c>
      <c r="L100" t="s">
        <v>78</v>
      </c>
    </row>
    <row r="101" spans="1:12" hidden="1">
      <c r="A101" t="s">
        <v>305</v>
      </c>
      <c r="B101" t="s">
        <v>294</v>
      </c>
      <c r="C101" t="s">
        <v>92</v>
      </c>
      <c r="E101" t="s">
        <v>295</v>
      </c>
      <c r="F101" t="s">
        <v>296</v>
      </c>
      <c r="G101" t="s">
        <v>299</v>
      </c>
      <c r="H101" t="s">
        <v>39</v>
      </c>
      <c r="I101" t="s">
        <v>39</v>
      </c>
      <c r="J101" t="s">
        <v>39</v>
      </c>
      <c r="K101" t="s">
        <v>78</v>
      </c>
      <c r="L101" t="s">
        <v>78</v>
      </c>
    </row>
    <row r="102" spans="1:12" hidden="1">
      <c r="A102" t="s">
        <v>306</v>
      </c>
      <c r="B102" t="s">
        <v>294</v>
      </c>
      <c r="C102" t="s">
        <v>92</v>
      </c>
      <c r="E102" t="s">
        <v>295</v>
      </c>
      <c r="F102" t="s">
        <v>296</v>
      </c>
      <c r="G102" t="s">
        <v>299</v>
      </c>
      <c r="H102" t="s">
        <v>39</v>
      </c>
      <c r="I102" t="s">
        <v>39</v>
      </c>
      <c r="J102" t="s">
        <v>39</v>
      </c>
      <c r="K102" t="s">
        <v>78</v>
      </c>
      <c r="L102" t="s">
        <v>78</v>
      </c>
    </row>
    <row r="103" spans="1:12" hidden="1">
      <c r="A103" t="s">
        <v>307</v>
      </c>
      <c r="B103" t="s">
        <v>294</v>
      </c>
      <c r="C103" t="s">
        <v>92</v>
      </c>
      <c r="E103" t="s">
        <v>295</v>
      </c>
      <c r="F103" t="s">
        <v>296</v>
      </c>
      <c r="G103" t="s">
        <v>299</v>
      </c>
      <c r="H103" t="s">
        <v>39</v>
      </c>
      <c r="I103" t="s">
        <v>39</v>
      </c>
      <c r="J103" t="s">
        <v>39</v>
      </c>
      <c r="K103" t="s">
        <v>78</v>
      </c>
      <c r="L103" t="s">
        <v>78</v>
      </c>
    </row>
    <row r="104" spans="1:12" hidden="1">
      <c r="A104" t="s">
        <v>308</v>
      </c>
      <c r="B104" t="s">
        <v>294</v>
      </c>
      <c r="C104" t="s">
        <v>92</v>
      </c>
      <c r="E104" t="s">
        <v>295</v>
      </c>
      <c r="F104" t="s">
        <v>296</v>
      </c>
      <c r="G104" t="s">
        <v>299</v>
      </c>
      <c r="H104" t="s">
        <v>39</v>
      </c>
      <c r="I104" t="s">
        <v>39</v>
      </c>
      <c r="J104" t="s">
        <v>39</v>
      </c>
      <c r="K104" t="s">
        <v>78</v>
      </c>
      <c r="L104" t="s">
        <v>78</v>
      </c>
    </row>
    <row r="105" spans="1:12" hidden="1">
      <c r="A105" t="s">
        <v>309</v>
      </c>
      <c r="B105" t="s">
        <v>294</v>
      </c>
      <c r="C105" t="s">
        <v>92</v>
      </c>
      <c r="E105" t="s">
        <v>295</v>
      </c>
      <c r="F105" t="s">
        <v>296</v>
      </c>
      <c r="G105" t="s">
        <v>299</v>
      </c>
      <c r="H105" t="s">
        <v>39</v>
      </c>
      <c r="I105" t="s">
        <v>39</v>
      </c>
      <c r="J105" t="s">
        <v>39</v>
      </c>
      <c r="K105" t="s">
        <v>78</v>
      </c>
      <c r="L105" t="s">
        <v>78</v>
      </c>
    </row>
    <row r="106" spans="1:12" hidden="1">
      <c r="A106" t="s">
        <v>310</v>
      </c>
      <c r="B106" t="s">
        <v>294</v>
      </c>
      <c r="C106" t="s">
        <v>92</v>
      </c>
      <c r="E106" t="s">
        <v>295</v>
      </c>
      <c r="F106" t="s">
        <v>296</v>
      </c>
      <c r="G106" t="s">
        <v>299</v>
      </c>
      <c r="H106" t="s">
        <v>39</v>
      </c>
      <c r="I106" t="s">
        <v>39</v>
      </c>
      <c r="J106" t="s">
        <v>39</v>
      </c>
      <c r="K106" t="s">
        <v>78</v>
      </c>
      <c r="L106" t="s">
        <v>78</v>
      </c>
    </row>
    <row r="107" spans="1:12" hidden="1">
      <c r="A107" t="s">
        <v>311</v>
      </c>
      <c r="B107" t="s">
        <v>294</v>
      </c>
      <c r="C107" t="s">
        <v>92</v>
      </c>
      <c r="E107" t="s">
        <v>295</v>
      </c>
      <c r="F107" t="s">
        <v>296</v>
      </c>
      <c r="G107" t="s">
        <v>299</v>
      </c>
      <c r="H107" t="s">
        <v>39</v>
      </c>
      <c r="I107" t="s">
        <v>39</v>
      </c>
      <c r="J107" t="s">
        <v>39</v>
      </c>
      <c r="K107" t="s">
        <v>78</v>
      </c>
      <c r="L107" t="s">
        <v>78</v>
      </c>
    </row>
    <row r="108" spans="1:12" hidden="1">
      <c r="A108" t="s">
        <v>312</v>
      </c>
      <c r="B108" t="s">
        <v>294</v>
      </c>
      <c r="C108" t="s">
        <v>92</v>
      </c>
      <c r="E108" t="s">
        <v>295</v>
      </c>
      <c r="F108" t="s">
        <v>296</v>
      </c>
      <c r="G108" t="s">
        <v>299</v>
      </c>
      <c r="H108" t="s">
        <v>39</v>
      </c>
      <c r="I108" t="s">
        <v>39</v>
      </c>
      <c r="J108" t="s">
        <v>39</v>
      </c>
      <c r="K108" t="s">
        <v>78</v>
      </c>
      <c r="L108" t="s">
        <v>78</v>
      </c>
    </row>
    <row r="109" spans="1:12" hidden="1">
      <c r="A109" t="s">
        <v>313</v>
      </c>
      <c r="B109" t="s">
        <v>294</v>
      </c>
      <c r="C109" t="s">
        <v>92</v>
      </c>
      <c r="E109" t="s">
        <v>295</v>
      </c>
      <c r="F109" t="s">
        <v>296</v>
      </c>
      <c r="G109" t="s">
        <v>299</v>
      </c>
      <c r="H109" t="s">
        <v>39</v>
      </c>
      <c r="I109" t="s">
        <v>39</v>
      </c>
      <c r="J109" t="s">
        <v>39</v>
      </c>
      <c r="K109" t="s">
        <v>78</v>
      </c>
      <c r="L109" t="s">
        <v>78</v>
      </c>
    </row>
    <row r="110" spans="1:12" hidden="1">
      <c r="A110" t="s">
        <v>314</v>
      </c>
      <c r="B110" t="s">
        <v>294</v>
      </c>
      <c r="C110" t="s">
        <v>92</v>
      </c>
      <c r="E110" t="s">
        <v>295</v>
      </c>
      <c r="F110" t="s">
        <v>296</v>
      </c>
      <c r="G110" t="s">
        <v>299</v>
      </c>
      <c r="H110" t="s">
        <v>39</v>
      </c>
      <c r="I110" t="s">
        <v>39</v>
      </c>
      <c r="J110" t="s">
        <v>39</v>
      </c>
      <c r="K110" t="s">
        <v>78</v>
      </c>
      <c r="L110" t="s">
        <v>78</v>
      </c>
    </row>
    <row r="111" spans="1:12" hidden="1">
      <c r="A111" t="s">
        <v>315</v>
      </c>
      <c r="B111" t="s">
        <v>294</v>
      </c>
      <c r="C111" t="s">
        <v>92</v>
      </c>
      <c r="E111" t="s">
        <v>295</v>
      </c>
      <c r="F111" t="s">
        <v>296</v>
      </c>
      <c r="G111" t="s">
        <v>299</v>
      </c>
      <c r="H111" t="s">
        <v>39</v>
      </c>
      <c r="I111" t="s">
        <v>39</v>
      </c>
      <c r="J111" t="s">
        <v>39</v>
      </c>
      <c r="K111" t="s">
        <v>78</v>
      </c>
      <c r="L111" t="s">
        <v>78</v>
      </c>
    </row>
    <row r="112" spans="1:12" hidden="1">
      <c r="A112" t="s">
        <v>316</v>
      </c>
      <c r="B112" t="s">
        <v>294</v>
      </c>
      <c r="C112" t="s">
        <v>92</v>
      </c>
      <c r="E112" t="s">
        <v>295</v>
      </c>
      <c r="F112" t="s">
        <v>296</v>
      </c>
      <c r="G112" t="s">
        <v>299</v>
      </c>
      <c r="H112" t="s">
        <v>39</v>
      </c>
      <c r="I112" t="s">
        <v>39</v>
      </c>
      <c r="J112" t="s">
        <v>39</v>
      </c>
      <c r="K112" t="s">
        <v>78</v>
      </c>
      <c r="L112" t="s">
        <v>78</v>
      </c>
    </row>
    <row r="113" spans="1:17" hidden="1">
      <c r="A113" t="s">
        <v>317</v>
      </c>
      <c r="B113" t="s">
        <v>294</v>
      </c>
      <c r="C113" t="s">
        <v>92</v>
      </c>
      <c r="E113" t="s">
        <v>295</v>
      </c>
      <c r="F113" t="s">
        <v>296</v>
      </c>
      <c r="G113" t="s">
        <v>299</v>
      </c>
      <c r="H113" t="s">
        <v>39</v>
      </c>
      <c r="I113" t="s">
        <v>39</v>
      </c>
      <c r="J113" t="s">
        <v>39</v>
      </c>
      <c r="K113" t="s">
        <v>78</v>
      </c>
      <c r="L113" t="s">
        <v>78</v>
      </c>
    </row>
    <row r="114" spans="1:17" hidden="1">
      <c r="A114" t="s">
        <v>318</v>
      </c>
      <c r="B114" t="s">
        <v>294</v>
      </c>
      <c r="C114" t="s">
        <v>92</v>
      </c>
      <c r="E114" t="s">
        <v>295</v>
      </c>
      <c r="F114" t="s">
        <v>296</v>
      </c>
      <c r="G114" t="s">
        <v>299</v>
      </c>
      <c r="H114" t="s">
        <v>39</v>
      </c>
      <c r="I114" t="s">
        <v>39</v>
      </c>
      <c r="J114" t="s">
        <v>39</v>
      </c>
      <c r="K114" t="s">
        <v>78</v>
      </c>
      <c r="L114" t="s">
        <v>78</v>
      </c>
    </row>
    <row r="115" spans="1:17" hidden="1">
      <c r="A115" t="s">
        <v>319</v>
      </c>
      <c r="B115" t="s">
        <v>294</v>
      </c>
      <c r="C115" t="s">
        <v>92</v>
      </c>
      <c r="E115" t="s">
        <v>295</v>
      </c>
      <c r="F115" t="s">
        <v>296</v>
      </c>
      <c r="G115" t="s">
        <v>299</v>
      </c>
      <c r="H115" t="s">
        <v>39</v>
      </c>
      <c r="I115" t="s">
        <v>39</v>
      </c>
      <c r="J115" t="s">
        <v>39</v>
      </c>
      <c r="K115" t="s">
        <v>78</v>
      </c>
      <c r="L115" t="s">
        <v>78</v>
      </c>
    </row>
    <row r="116" spans="1:17" hidden="1">
      <c r="A116" t="s">
        <v>320</v>
      </c>
      <c r="B116" t="s">
        <v>294</v>
      </c>
      <c r="C116" t="s">
        <v>92</v>
      </c>
      <c r="E116" t="s">
        <v>295</v>
      </c>
      <c r="F116" t="s">
        <v>296</v>
      </c>
      <c r="G116" t="s">
        <v>299</v>
      </c>
      <c r="H116" t="s">
        <v>39</v>
      </c>
      <c r="I116" t="s">
        <v>39</v>
      </c>
      <c r="J116" t="s">
        <v>39</v>
      </c>
      <c r="K116" t="s">
        <v>78</v>
      </c>
      <c r="L116" t="s">
        <v>78</v>
      </c>
    </row>
    <row r="117" spans="1:17" hidden="1">
      <c r="A117" t="s">
        <v>321</v>
      </c>
      <c r="B117" t="s">
        <v>294</v>
      </c>
      <c r="C117" t="s">
        <v>92</v>
      </c>
      <c r="E117" t="s">
        <v>295</v>
      </c>
      <c r="F117" t="s">
        <v>296</v>
      </c>
      <c r="G117" t="s">
        <v>299</v>
      </c>
      <c r="H117" t="s">
        <v>39</v>
      </c>
      <c r="I117" t="s">
        <v>39</v>
      </c>
      <c r="J117" t="s">
        <v>39</v>
      </c>
      <c r="K117" t="s">
        <v>78</v>
      </c>
      <c r="L117" t="s">
        <v>78</v>
      </c>
    </row>
    <row r="118" spans="1:17" ht="60" hidden="1">
      <c r="A118" t="s">
        <v>322</v>
      </c>
      <c r="B118" t="s">
        <v>323</v>
      </c>
      <c r="C118" t="s">
        <v>323</v>
      </c>
      <c r="D118" t="s">
        <v>100</v>
      </c>
      <c r="E118" t="s">
        <v>71</v>
      </c>
      <c r="F118" s="1" t="s">
        <v>324</v>
      </c>
    </row>
    <row r="119" spans="1:17" ht="30" hidden="1">
      <c r="A119" t="s">
        <v>325</v>
      </c>
      <c r="B119" t="s">
        <v>325</v>
      </c>
      <c r="C119" t="s">
        <v>325</v>
      </c>
      <c r="E119" t="s">
        <v>326</v>
      </c>
      <c r="F119" t="s">
        <v>327</v>
      </c>
      <c r="G119" s="1" t="s">
        <v>328</v>
      </c>
      <c r="H119" t="s">
        <v>44</v>
      </c>
    </row>
    <row r="120" spans="1:17">
      <c r="A120" t="s">
        <v>329</v>
      </c>
      <c r="B120" t="s">
        <v>330</v>
      </c>
      <c r="C120" t="s">
        <v>330</v>
      </c>
      <c r="D120" t="s">
        <v>331</v>
      </c>
      <c r="E120" t="s">
        <v>71</v>
      </c>
      <c r="F120" t="s">
        <v>332</v>
      </c>
    </row>
    <row r="121" spans="1:17" hidden="1">
      <c r="A121" t="s">
        <v>333</v>
      </c>
      <c r="B121" t="s">
        <v>334</v>
      </c>
      <c r="C121" t="s">
        <v>334</v>
      </c>
      <c r="E121" t="s">
        <v>55</v>
      </c>
      <c r="F121" t="s">
        <v>335</v>
      </c>
      <c r="H121" t="s">
        <v>77</v>
      </c>
      <c r="I121" t="s">
        <v>77</v>
      </c>
      <c r="J121" t="s">
        <v>39</v>
      </c>
      <c r="K121" t="s">
        <v>78</v>
      </c>
      <c r="L121" t="s">
        <v>78</v>
      </c>
      <c r="M121" t="s">
        <v>39</v>
      </c>
    </row>
    <row r="122" spans="1:17" hidden="1">
      <c r="A122" t="s">
        <v>336</v>
      </c>
      <c r="B122" t="s">
        <v>337</v>
      </c>
      <c r="C122" t="s">
        <v>337</v>
      </c>
      <c r="E122" t="s">
        <v>50</v>
      </c>
      <c r="F122" t="s">
        <v>338</v>
      </c>
      <c r="I122" t="s">
        <v>39</v>
      </c>
      <c r="J122" t="s">
        <v>39</v>
      </c>
      <c r="M122" t="s">
        <v>39</v>
      </c>
      <c r="O122">
        <v>0</v>
      </c>
      <c r="P122">
        <v>0.8</v>
      </c>
      <c r="Q122" t="s">
        <v>339</v>
      </c>
    </row>
    <row r="123" spans="1:17" hidden="1">
      <c r="A123" t="s">
        <v>340</v>
      </c>
      <c r="B123" t="s">
        <v>341</v>
      </c>
      <c r="C123" t="s">
        <v>341</v>
      </c>
      <c r="E123" t="s">
        <v>50</v>
      </c>
      <c r="F123" t="s">
        <v>51</v>
      </c>
      <c r="J123" t="s">
        <v>39</v>
      </c>
      <c r="M123" t="s">
        <v>39</v>
      </c>
      <c r="N123" t="s">
        <v>39</v>
      </c>
      <c r="O123">
        <v>10000</v>
      </c>
      <c r="P123">
        <v>0.5</v>
      </c>
      <c r="Q123" t="s">
        <v>342</v>
      </c>
    </row>
    <row r="124" spans="1:17" hidden="1">
      <c r="A124" t="s">
        <v>343</v>
      </c>
      <c r="B124" t="s">
        <v>344</v>
      </c>
      <c r="C124" t="s">
        <v>92</v>
      </c>
      <c r="E124" t="s">
        <v>161</v>
      </c>
      <c r="F124" t="s">
        <v>345</v>
      </c>
      <c r="G124" t="s">
        <v>346</v>
      </c>
      <c r="H124" t="s">
        <v>39</v>
      </c>
      <c r="Q124" t="s">
        <v>347</v>
      </c>
    </row>
    <row r="125" spans="1:17">
      <c r="A125" t="s">
        <v>348</v>
      </c>
      <c r="B125" t="s">
        <v>349</v>
      </c>
      <c r="C125" t="s">
        <v>349</v>
      </c>
      <c r="D125" t="s">
        <v>350</v>
      </c>
      <c r="E125" t="s">
        <v>71</v>
      </c>
      <c r="F125" t="s">
        <v>259</v>
      </c>
    </row>
    <row r="126" spans="1:17" hidden="1">
      <c r="A126" t="s">
        <v>351</v>
      </c>
      <c r="B126" t="s">
        <v>352</v>
      </c>
      <c r="C126" t="s">
        <v>352</v>
      </c>
      <c r="E126" t="s">
        <v>111</v>
      </c>
      <c r="F126" t="s">
        <v>112</v>
      </c>
    </row>
    <row r="127" spans="1:17" ht="75" hidden="1">
      <c r="A127" t="s">
        <v>353</v>
      </c>
      <c r="B127" t="s">
        <v>354</v>
      </c>
      <c r="C127" t="s">
        <v>354</v>
      </c>
      <c r="D127" s="1" t="s">
        <v>355</v>
      </c>
      <c r="E127" t="s">
        <v>60</v>
      </c>
      <c r="F127" t="s">
        <v>356</v>
      </c>
      <c r="G127" t="s">
        <v>62</v>
      </c>
      <c r="H127" t="s">
        <v>78</v>
      </c>
      <c r="I127" t="s">
        <v>63</v>
      </c>
      <c r="J127" t="s">
        <v>39</v>
      </c>
      <c r="K127" t="s">
        <v>64</v>
      </c>
      <c r="L127" t="s">
        <v>64</v>
      </c>
      <c r="M127" t="s">
        <v>64</v>
      </c>
      <c r="N127" t="s">
        <v>64</v>
      </c>
      <c r="O127">
        <v>0</v>
      </c>
      <c r="P127">
        <v>0.25</v>
      </c>
      <c r="Q127" t="s">
        <v>357</v>
      </c>
    </row>
    <row r="128" spans="1:17">
      <c r="A128" t="s">
        <v>358</v>
      </c>
      <c r="B128" t="s">
        <v>359</v>
      </c>
      <c r="C128" t="s">
        <v>359</v>
      </c>
      <c r="D128" t="s">
        <v>360</v>
      </c>
      <c r="E128" t="s">
        <v>71</v>
      </c>
      <c r="F128" t="s">
        <v>259</v>
      </c>
    </row>
    <row r="129" spans="1:17" hidden="1">
      <c r="A129" t="s">
        <v>361</v>
      </c>
      <c r="B129" t="s">
        <v>362</v>
      </c>
      <c r="E129" t="s">
        <v>36</v>
      </c>
      <c r="F129" t="s">
        <v>363</v>
      </c>
      <c r="G129" t="s">
        <v>364</v>
      </c>
      <c r="H129" t="s">
        <v>77</v>
      </c>
      <c r="I129" t="s">
        <v>77</v>
      </c>
      <c r="J129" t="s">
        <v>77</v>
      </c>
      <c r="K129" t="s">
        <v>77</v>
      </c>
      <c r="L129" t="s">
        <v>77</v>
      </c>
      <c r="M129" t="s">
        <v>77</v>
      </c>
      <c r="N129" t="s">
        <v>77</v>
      </c>
      <c r="O129" t="s">
        <v>77</v>
      </c>
      <c r="P129" t="s">
        <v>77</v>
      </c>
      <c r="Q129" t="s">
        <v>365</v>
      </c>
    </row>
    <row r="130" spans="1:17" hidden="1">
      <c r="A130" t="s">
        <v>366</v>
      </c>
      <c r="B130" t="s">
        <v>366</v>
      </c>
      <c r="C130" t="s">
        <v>366</v>
      </c>
      <c r="E130" t="s">
        <v>50</v>
      </c>
      <c r="F130" t="s">
        <v>338</v>
      </c>
      <c r="I130" t="s">
        <v>39</v>
      </c>
      <c r="O130">
        <v>0</v>
      </c>
      <c r="P130">
        <v>0.8</v>
      </c>
    </row>
    <row r="131" spans="1:17" hidden="1">
      <c r="A131" t="s">
        <v>340</v>
      </c>
      <c r="B131" t="s">
        <v>367</v>
      </c>
      <c r="C131" t="s">
        <v>367</v>
      </c>
      <c r="E131" t="s">
        <v>50</v>
      </c>
      <c r="F131" t="s">
        <v>51</v>
      </c>
      <c r="J131" t="s">
        <v>39</v>
      </c>
      <c r="M131" t="s">
        <v>39</v>
      </c>
      <c r="N131" t="s">
        <v>39</v>
      </c>
      <c r="O131">
        <v>10000</v>
      </c>
      <c r="P131">
        <v>0.5</v>
      </c>
      <c r="Q131" t="s">
        <v>342</v>
      </c>
    </row>
    <row r="132" spans="1:17" ht="45">
      <c r="A132" t="s">
        <v>80</v>
      </c>
      <c r="B132" t="s">
        <v>368</v>
      </c>
      <c r="C132" t="s">
        <v>368</v>
      </c>
      <c r="E132" t="s">
        <v>71</v>
      </c>
      <c r="F132" s="1" t="s">
        <v>292</v>
      </c>
    </row>
    <row r="133" spans="1:17" hidden="1">
      <c r="A133" t="s">
        <v>369</v>
      </c>
      <c r="B133" t="s">
        <v>370</v>
      </c>
      <c r="C133" t="s">
        <v>370</v>
      </c>
      <c r="E133" t="s">
        <v>161</v>
      </c>
      <c r="F133" t="s">
        <v>371</v>
      </c>
      <c r="G133" t="s">
        <v>372</v>
      </c>
      <c r="H133" t="s">
        <v>39</v>
      </c>
      <c r="I133" t="s">
        <v>39</v>
      </c>
      <c r="J133" t="s">
        <v>39</v>
      </c>
      <c r="K133" t="s">
        <v>44</v>
      </c>
      <c r="L133" t="s">
        <v>141</v>
      </c>
      <c r="Q133" t="s">
        <v>373</v>
      </c>
    </row>
    <row r="134" spans="1:17" ht="75" hidden="1">
      <c r="A134" t="s">
        <v>374</v>
      </c>
      <c r="B134" t="s">
        <v>375</v>
      </c>
      <c r="C134" t="s">
        <v>92</v>
      </c>
      <c r="E134" t="s">
        <v>152</v>
      </c>
      <c r="F134" t="s">
        <v>153</v>
      </c>
      <c r="G134" s="1" t="s">
        <v>376</v>
      </c>
      <c r="H134" t="s">
        <v>39</v>
      </c>
      <c r="Q134" t="s">
        <v>377</v>
      </c>
    </row>
    <row r="135" spans="1:17" hidden="1">
      <c r="A135" t="s">
        <v>378</v>
      </c>
      <c r="B135" t="s">
        <v>378</v>
      </c>
      <c r="C135" t="s">
        <v>378</v>
      </c>
      <c r="E135" t="s">
        <v>50</v>
      </c>
      <c r="F135" t="s">
        <v>51</v>
      </c>
      <c r="J135" t="s">
        <v>39</v>
      </c>
      <c r="M135" t="s">
        <v>39</v>
      </c>
      <c r="O135">
        <v>0</v>
      </c>
      <c r="P135">
        <v>0.5</v>
      </c>
      <c r="Q135" t="s">
        <v>379</v>
      </c>
    </row>
    <row r="136" spans="1:17" hidden="1">
      <c r="A136" t="s">
        <v>380</v>
      </c>
      <c r="B136" t="s">
        <v>381</v>
      </c>
      <c r="C136" t="s">
        <v>381</v>
      </c>
      <c r="E136" t="s">
        <v>50</v>
      </c>
      <c r="F136" t="s">
        <v>338</v>
      </c>
      <c r="I136" t="s">
        <v>39</v>
      </c>
      <c r="J136" t="s">
        <v>39</v>
      </c>
      <c r="M136" t="s">
        <v>39</v>
      </c>
      <c r="O136">
        <v>0</v>
      </c>
      <c r="P136">
        <v>0.8</v>
      </c>
      <c r="Q136" t="s">
        <v>382</v>
      </c>
    </row>
    <row r="137" spans="1:17" hidden="1">
      <c r="A137" t="s">
        <v>383</v>
      </c>
      <c r="B137" t="s">
        <v>383</v>
      </c>
      <c r="C137" t="s">
        <v>383</v>
      </c>
      <c r="E137" t="s">
        <v>50</v>
      </c>
      <c r="F137" t="s">
        <v>51</v>
      </c>
      <c r="O137">
        <v>10000</v>
      </c>
      <c r="P137">
        <v>0.5</v>
      </c>
      <c r="Q137" t="s">
        <v>384</v>
      </c>
    </row>
    <row r="138" spans="1:17" hidden="1">
      <c r="A138" t="s">
        <v>385</v>
      </c>
      <c r="B138" t="s">
        <v>385</v>
      </c>
      <c r="C138" t="s">
        <v>385</v>
      </c>
      <c r="E138" t="s">
        <v>50</v>
      </c>
      <c r="F138" t="s">
        <v>51</v>
      </c>
      <c r="J138" t="s">
        <v>39</v>
      </c>
      <c r="M138" t="s">
        <v>39</v>
      </c>
      <c r="O138">
        <v>10000</v>
      </c>
      <c r="P138">
        <v>0.5</v>
      </c>
      <c r="Q138" t="s">
        <v>256</v>
      </c>
    </row>
    <row r="139" spans="1:17">
      <c r="A139" t="s">
        <v>358</v>
      </c>
      <c r="B139" t="s">
        <v>386</v>
      </c>
      <c r="C139" t="s">
        <v>386</v>
      </c>
      <c r="D139" t="s">
        <v>360</v>
      </c>
      <c r="E139" t="s">
        <v>71</v>
      </c>
      <c r="F139" t="s">
        <v>259</v>
      </c>
    </row>
    <row r="140" spans="1:17" ht="30">
      <c r="A140" t="s">
        <v>98</v>
      </c>
      <c r="B140" t="s">
        <v>387</v>
      </c>
      <c r="C140" t="s">
        <v>387</v>
      </c>
      <c r="D140" t="s">
        <v>100</v>
      </c>
      <c r="E140" t="s">
        <v>71</v>
      </c>
      <c r="F140" s="1" t="s">
        <v>101</v>
      </c>
    </row>
    <row r="141" spans="1:17">
      <c r="A141" t="s">
        <v>358</v>
      </c>
      <c r="B141" t="s">
        <v>388</v>
      </c>
      <c r="C141" t="s">
        <v>388</v>
      </c>
      <c r="D141" t="s">
        <v>389</v>
      </c>
      <c r="E141" t="s">
        <v>71</v>
      </c>
      <c r="F141" t="s">
        <v>259</v>
      </c>
    </row>
    <row r="142" spans="1:17" ht="30" hidden="1">
      <c r="A142" t="s">
        <v>390</v>
      </c>
      <c r="B142" t="s">
        <v>391</v>
      </c>
      <c r="E142" t="s">
        <v>161</v>
      </c>
      <c r="F142" t="s">
        <v>392</v>
      </c>
      <c r="G142" s="1" t="s">
        <v>393</v>
      </c>
      <c r="H142" t="s">
        <v>39</v>
      </c>
    </row>
    <row r="143" spans="1:17" hidden="1">
      <c r="A143" t="s">
        <v>394</v>
      </c>
      <c r="B143" t="s">
        <v>395</v>
      </c>
      <c r="C143" t="s">
        <v>92</v>
      </c>
      <c r="E143" t="s">
        <v>161</v>
      </c>
      <c r="F143" t="s">
        <v>396</v>
      </c>
      <c r="G143" t="s">
        <v>397</v>
      </c>
      <c r="H143" t="s">
        <v>44</v>
      </c>
      <c r="I143" t="s">
        <v>44</v>
      </c>
      <c r="J143" t="s">
        <v>78</v>
      </c>
      <c r="K143" t="s">
        <v>78</v>
      </c>
      <c r="L143" t="s">
        <v>78</v>
      </c>
      <c r="M143" t="s">
        <v>78</v>
      </c>
      <c r="N143" t="s">
        <v>78</v>
      </c>
      <c r="O143">
        <v>0</v>
      </c>
      <c r="Q143" t="s">
        <v>398</v>
      </c>
    </row>
    <row r="144" spans="1:17" hidden="1">
      <c r="A144" t="s">
        <v>399</v>
      </c>
      <c r="B144" t="s">
        <v>400</v>
      </c>
      <c r="C144" t="s">
        <v>400</v>
      </c>
      <c r="E144" t="s">
        <v>111</v>
      </c>
      <c r="F144" t="s">
        <v>401</v>
      </c>
    </row>
    <row r="145" spans="1:17" hidden="1">
      <c r="A145" t="s">
        <v>336</v>
      </c>
      <c r="B145" t="s">
        <v>402</v>
      </c>
      <c r="C145" t="s">
        <v>402</v>
      </c>
      <c r="E145" t="s">
        <v>50</v>
      </c>
      <c r="F145" t="s">
        <v>338</v>
      </c>
      <c r="I145" t="s">
        <v>39</v>
      </c>
      <c r="J145" t="s">
        <v>39</v>
      </c>
      <c r="M145" t="s">
        <v>39</v>
      </c>
      <c r="O145">
        <v>0</v>
      </c>
      <c r="P145">
        <v>0.8</v>
      </c>
      <c r="Q145" t="s">
        <v>403</v>
      </c>
    </row>
    <row r="146" spans="1:17" hidden="1">
      <c r="A146" t="s">
        <v>404</v>
      </c>
      <c r="B146" t="s">
        <v>404</v>
      </c>
      <c r="C146" t="s">
        <v>404</v>
      </c>
      <c r="E146" t="s">
        <v>55</v>
      </c>
      <c r="F146" t="s">
        <v>138</v>
      </c>
      <c r="H146" t="s">
        <v>39</v>
      </c>
      <c r="I146" t="s">
        <v>78</v>
      </c>
      <c r="J146" t="s">
        <v>39</v>
      </c>
      <c r="K146" t="s">
        <v>78</v>
      </c>
      <c r="L146" t="s">
        <v>39</v>
      </c>
      <c r="M146" t="s">
        <v>39</v>
      </c>
      <c r="N146" t="s">
        <v>39</v>
      </c>
      <c r="O146">
        <v>50000</v>
      </c>
      <c r="Q146" t="s">
        <v>405</v>
      </c>
    </row>
    <row r="147" spans="1:17">
      <c r="A147" t="s">
        <v>358</v>
      </c>
      <c r="B147" t="s">
        <v>406</v>
      </c>
      <c r="C147" t="s">
        <v>406</v>
      </c>
      <c r="E147" t="s">
        <v>71</v>
      </c>
      <c r="F147" t="s">
        <v>407</v>
      </c>
    </row>
    <row r="148" spans="1:17" ht="60">
      <c r="A148" t="s">
        <v>358</v>
      </c>
      <c r="B148" s="1" t="s">
        <v>408</v>
      </c>
      <c r="C148" s="1" t="s">
        <v>408</v>
      </c>
      <c r="D148" t="s">
        <v>360</v>
      </c>
      <c r="E148" t="s">
        <v>71</v>
      </c>
      <c r="F148" t="s">
        <v>409</v>
      </c>
    </row>
    <row r="149" spans="1:17">
      <c r="A149" t="s">
        <v>358</v>
      </c>
      <c r="B149" t="s">
        <v>410</v>
      </c>
      <c r="C149" t="s">
        <v>410</v>
      </c>
      <c r="E149" t="s">
        <v>71</v>
      </c>
      <c r="F149" t="s">
        <v>411</v>
      </c>
    </row>
    <row r="150" spans="1:17">
      <c r="A150" t="s">
        <v>412</v>
      </c>
      <c r="B150" t="s">
        <v>413</v>
      </c>
      <c r="C150" t="s">
        <v>413</v>
      </c>
      <c r="D150" t="s">
        <v>350</v>
      </c>
      <c r="E150" t="s">
        <v>71</v>
      </c>
      <c r="F150" t="s">
        <v>259</v>
      </c>
    </row>
    <row r="151" spans="1:17">
      <c r="A151" t="s">
        <v>412</v>
      </c>
      <c r="B151" t="s">
        <v>414</v>
      </c>
      <c r="C151" t="s">
        <v>414</v>
      </c>
      <c r="D151" t="s">
        <v>350</v>
      </c>
      <c r="E151" t="s">
        <v>71</v>
      </c>
      <c r="F151" t="s">
        <v>259</v>
      </c>
    </row>
    <row r="152" spans="1:17" ht="60" hidden="1">
      <c r="A152" t="s">
        <v>415</v>
      </c>
      <c r="B152" t="s">
        <v>415</v>
      </c>
      <c r="C152" t="s">
        <v>415</v>
      </c>
      <c r="E152" t="s">
        <v>152</v>
      </c>
      <c r="F152" t="s">
        <v>153</v>
      </c>
      <c r="G152" s="1" t="s">
        <v>416</v>
      </c>
      <c r="H152" t="s">
        <v>39</v>
      </c>
      <c r="N152" t="s">
        <v>40</v>
      </c>
      <c r="Q152" t="s">
        <v>417</v>
      </c>
    </row>
    <row r="153" spans="1:17">
      <c r="A153" t="s">
        <v>68</v>
      </c>
      <c r="B153" t="s">
        <v>418</v>
      </c>
      <c r="C153" t="s">
        <v>418</v>
      </c>
      <c r="D153" t="s">
        <v>107</v>
      </c>
      <c r="E153" t="s">
        <v>71</v>
      </c>
      <c r="F153" t="s">
        <v>419</v>
      </c>
    </row>
    <row r="154" spans="1:17" hidden="1">
      <c r="A154" t="s">
        <v>420</v>
      </c>
      <c r="B154" t="s">
        <v>420</v>
      </c>
      <c r="C154" t="s">
        <v>420</v>
      </c>
      <c r="E154" t="s">
        <v>50</v>
      </c>
      <c r="F154" t="s">
        <v>421</v>
      </c>
      <c r="J154" t="s">
        <v>39</v>
      </c>
      <c r="M154" t="s">
        <v>39</v>
      </c>
      <c r="O154">
        <v>0</v>
      </c>
      <c r="P154">
        <v>0.9</v>
      </c>
    </row>
    <row r="155" spans="1:17" ht="150" hidden="1">
      <c r="A155" t="s">
        <v>422</v>
      </c>
      <c r="B155" t="s">
        <v>423</v>
      </c>
      <c r="C155" t="s">
        <v>423</v>
      </c>
      <c r="D155" s="1" t="s">
        <v>424</v>
      </c>
      <c r="E155" t="s">
        <v>60</v>
      </c>
      <c r="F155" t="s">
        <v>425</v>
      </c>
      <c r="G155" t="s">
        <v>426</v>
      </c>
      <c r="H155" t="s">
        <v>39</v>
      </c>
      <c r="I155" t="s">
        <v>39</v>
      </c>
      <c r="J155" t="s">
        <v>39</v>
      </c>
      <c r="K155" t="s">
        <v>64</v>
      </c>
      <c r="L155" t="s">
        <v>64</v>
      </c>
      <c r="M155" t="s">
        <v>65</v>
      </c>
      <c r="N155" t="s">
        <v>66</v>
      </c>
      <c r="O155">
        <v>50000</v>
      </c>
      <c r="P155">
        <v>0.25</v>
      </c>
      <c r="Q155" s="1" t="s">
        <v>427</v>
      </c>
    </row>
    <row r="156" spans="1:17" hidden="1">
      <c r="A156" t="s">
        <v>428</v>
      </c>
      <c r="B156" t="s">
        <v>429</v>
      </c>
      <c r="C156" t="s">
        <v>92</v>
      </c>
      <c r="E156" t="s">
        <v>161</v>
      </c>
      <c r="F156" t="s">
        <v>430</v>
      </c>
      <c r="G156" t="s">
        <v>431</v>
      </c>
      <c r="H156" t="s">
        <v>39</v>
      </c>
      <c r="I156" t="s">
        <v>62</v>
      </c>
      <c r="J156" t="s">
        <v>39</v>
      </c>
      <c r="K156" t="s">
        <v>141</v>
      </c>
      <c r="L156" t="s">
        <v>141</v>
      </c>
      <c r="M156" t="s">
        <v>141</v>
      </c>
      <c r="N156" t="s">
        <v>141</v>
      </c>
      <c r="Q156" t="s">
        <v>432</v>
      </c>
    </row>
    <row r="157" spans="1:17" ht="30" hidden="1">
      <c r="A157" t="s">
        <v>433</v>
      </c>
      <c r="B157" t="s">
        <v>434</v>
      </c>
      <c r="E157" t="s">
        <v>161</v>
      </c>
      <c r="F157" t="s">
        <v>435</v>
      </c>
      <c r="G157" s="1" t="s">
        <v>436</v>
      </c>
      <c r="H157" t="s">
        <v>39</v>
      </c>
      <c r="I157" t="s">
        <v>39</v>
      </c>
      <c r="J157" t="s">
        <v>39</v>
      </c>
      <c r="M157" t="s">
        <v>141</v>
      </c>
      <c r="Q157" t="s">
        <v>437</v>
      </c>
    </row>
    <row r="158" spans="1:17" hidden="1">
      <c r="A158" t="s">
        <v>438</v>
      </c>
      <c r="B158" t="s">
        <v>438</v>
      </c>
      <c r="C158" t="s">
        <v>438</v>
      </c>
      <c r="E158" t="s">
        <v>55</v>
      </c>
      <c r="F158" t="s">
        <v>138</v>
      </c>
      <c r="H158" t="s">
        <v>78</v>
      </c>
      <c r="I158" t="s">
        <v>39</v>
      </c>
      <c r="J158" t="s">
        <v>39</v>
      </c>
      <c r="K158" t="s">
        <v>78</v>
      </c>
      <c r="L158" t="s">
        <v>39</v>
      </c>
      <c r="M158" t="s">
        <v>39</v>
      </c>
      <c r="N158" t="s">
        <v>39</v>
      </c>
      <c r="O158">
        <v>750000</v>
      </c>
      <c r="Q158" t="s">
        <v>439</v>
      </c>
    </row>
    <row r="159" spans="1:17">
      <c r="A159" t="s">
        <v>440</v>
      </c>
      <c r="B159" t="s">
        <v>441</v>
      </c>
      <c r="C159" t="s">
        <v>441</v>
      </c>
      <c r="D159" t="s">
        <v>442</v>
      </c>
      <c r="E159" t="s">
        <v>71</v>
      </c>
      <c r="F159" t="s">
        <v>443</v>
      </c>
    </row>
    <row r="160" spans="1:17" hidden="1">
      <c r="A160" t="s">
        <v>444</v>
      </c>
      <c r="B160" t="s">
        <v>444</v>
      </c>
      <c r="C160" t="s">
        <v>444</v>
      </c>
      <c r="E160" t="s">
        <v>50</v>
      </c>
      <c r="F160" t="s">
        <v>51</v>
      </c>
      <c r="J160" t="s">
        <v>39</v>
      </c>
      <c r="M160" t="s">
        <v>39</v>
      </c>
      <c r="O160">
        <v>0</v>
      </c>
      <c r="P160">
        <v>0.5</v>
      </c>
      <c r="Q160" t="s">
        <v>445</v>
      </c>
    </row>
    <row r="161" spans="1:17" hidden="1">
      <c r="A161" t="s">
        <v>446</v>
      </c>
      <c r="B161" t="s">
        <v>446</v>
      </c>
      <c r="C161" t="s">
        <v>446</v>
      </c>
      <c r="E161" t="s">
        <v>50</v>
      </c>
      <c r="F161" t="s">
        <v>51</v>
      </c>
      <c r="J161" t="s">
        <v>39</v>
      </c>
      <c r="M161" t="s">
        <v>39</v>
      </c>
      <c r="O161">
        <v>10000</v>
      </c>
      <c r="P161">
        <v>0.5</v>
      </c>
      <c r="Q161" t="s">
        <v>447</v>
      </c>
    </row>
    <row r="162" spans="1:17" hidden="1">
      <c r="A162" t="s">
        <v>380</v>
      </c>
      <c r="B162" t="s">
        <v>448</v>
      </c>
      <c r="C162" t="s">
        <v>448</v>
      </c>
      <c r="E162" t="s">
        <v>50</v>
      </c>
      <c r="F162" t="s">
        <v>338</v>
      </c>
      <c r="I162" t="s">
        <v>39</v>
      </c>
      <c r="J162" t="s">
        <v>39</v>
      </c>
      <c r="M162" t="s">
        <v>39</v>
      </c>
      <c r="O162">
        <v>0</v>
      </c>
      <c r="P162">
        <v>0.8</v>
      </c>
      <c r="Q162" t="s">
        <v>403</v>
      </c>
    </row>
    <row r="163" spans="1:17" hidden="1">
      <c r="A163" t="s">
        <v>449</v>
      </c>
      <c r="B163" t="s">
        <v>450</v>
      </c>
      <c r="C163" t="s">
        <v>450</v>
      </c>
      <c r="E163" t="s">
        <v>111</v>
      </c>
      <c r="F163" t="s">
        <v>401</v>
      </c>
    </row>
    <row r="164" spans="1:17" ht="30" hidden="1">
      <c r="A164" t="s">
        <v>451</v>
      </c>
      <c r="B164" t="s">
        <v>452</v>
      </c>
      <c r="C164" t="s">
        <v>92</v>
      </c>
      <c r="E164" t="s">
        <v>152</v>
      </c>
      <c r="F164" t="s">
        <v>453</v>
      </c>
      <c r="G164" s="1" t="s">
        <v>454</v>
      </c>
      <c r="H164" t="s">
        <v>39</v>
      </c>
      <c r="I164" t="s">
        <v>155</v>
      </c>
      <c r="J164" t="s">
        <v>40</v>
      </c>
      <c r="N164" t="s">
        <v>40</v>
      </c>
      <c r="Q164" t="s">
        <v>455</v>
      </c>
    </row>
    <row r="165" spans="1:17" hidden="1">
      <c r="A165" t="s">
        <v>456</v>
      </c>
      <c r="B165" t="s">
        <v>456</v>
      </c>
      <c r="C165" t="s">
        <v>456</v>
      </c>
      <c r="E165" t="s">
        <v>50</v>
      </c>
      <c r="F165" t="s">
        <v>51</v>
      </c>
      <c r="J165" t="s">
        <v>39</v>
      </c>
      <c r="M165" t="s">
        <v>39</v>
      </c>
      <c r="O165">
        <v>0</v>
      </c>
      <c r="P165">
        <v>0.8</v>
      </c>
      <c r="Q165" t="s">
        <v>282</v>
      </c>
    </row>
    <row r="166" spans="1:17" hidden="1">
      <c r="A166" t="s">
        <v>457</v>
      </c>
      <c r="B166" t="s">
        <v>457</v>
      </c>
      <c r="C166" t="s">
        <v>457</v>
      </c>
      <c r="E166" t="s">
        <v>50</v>
      </c>
      <c r="F166" t="s">
        <v>51</v>
      </c>
      <c r="J166" t="s">
        <v>39</v>
      </c>
      <c r="M166" t="s">
        <v>39</v>
      </c>
      <c r="O166">
        <v>20000</v>
      </c>
      <c r="P166">
        <v>0.5</v>
      </c>
      <c r="Q166" t="s">
        <v>256</v>
      </c>
    </row>
    <row r="167" spans="1:17" hidden="1">
      <c r="A167" t="s">
        <v>458</v>
      </c>
      <c r="B167" t="s">
        <v>459</v>
      </c>
      <c r="C167" t="s">
        <v>459</v>
      </c>
      <c r="E167" t="s">
        <v>111</v>
      </c>
      <c r="F167" t="s">
        <v>401</v>
      </c>
    </row>
    <row r="168" spans="1:17" hidden="1">
      <c r="A168" t="s">
        <v>460</v>
      </c>
      <c r="B168" t="s">
        <v>461</v>
      </c>
      <c r="C168" t="s">
        <v>461</v>
      </c>
      <c r="E168" t="s">
        <v>111</v>
      </c>
      <c r="F168" t="s">
        <v>401</v>
      </c>
    </row>
    <row r="169" spans="1:17" hidden="1">
      <c r="A169" t="s">
        <v>136</v>
      </c>
      <c r="B169" t="s">
        <v>462</v>
      </c>
      <c r="C169" t="s">
        <v>462</v>
      </c>
      <c r="D169" t="s">
        <v>463</v>
      </c>
      <c r="E169" t="s">
        <v>71</v>
      </c>
      <c r="F169" t="s">
        <v>138</v>
      </c>
    </row>
    <row r="170" spans="1:17">
      <c r="A170" t="s">
        <v>257</v>
      </c>
      <c r="B170" t="s">
        <v>464</v>
      </c>
      <c r="C170" t="s">
        <v>464</v>
      </c>
      <c r="D170" t="s">
        <v>100</v>
      </c>
      <c r="E170" t="s">
        <v>71</v>
      </c>
      <c r="F170" t="s">
        <v>259</v>
      </c>
    </row>
    <row r="171" spans="1:17" hidden="1">
      <c r="A171" t="s">
        <v>340</v>
      </c>
      <c r="B171" t="s">
        <v>465</v>
      </c>
      <c r="C171" t="s">
        <v>465</v>
      </c>
      <c r="E171" t="s">
        <v>50</v>
      </c>
      <c r="F171" t="s">
        <v>51</v>
      </c>
      <c r="J171" t="s">
        <v>39</v>
      </c>
      <c r="M171" t="s">
        <v>39</v>
      </c>
      <c r="N171" t="s">
        <v>39</v>
      </c>
      <c r="O171">
        <v>10000</v>
      </c>
      <c r="P171">
        <v>0.5</v>
      </c>
      <c r="Q171" t="s">
        <v>342</v>
      </c>
    </row>
    <row r="172" spans="1:17" hidden="1">
      <c r="A172" t="s">
        <v>466</v>
      </c>
      <c r="B172" t="s">
        <v>467</v>
      </c>
      <c r="C172" t="s">
        <v>466</v>
      </c>
      <c r="E172" t="s">
        <v>50</v>
      </c>
      <c r="F172" t="s">
        <v>468</v>
      </c>
      <c r="J172" t="s">
        <v>39</v>
      </c>
      <c r="M172" t="s">
        <v>39</v>
      </c>
      <c r="O172">
        <v>250000</v>
      </c>
      <c r="P172">
        <v>0.75</v>
      </c>
      <c r="Q172" t="s">
        <v>469</v>
      </c>
    </row>
    <row r="173" spans="1:17">
      <c r="A173" t="s">
        <v>257</v>
      </c>
      <c r="B173" t="s">
        <v>470</v>
      </c>
      <c r="C173" t="s">
        <v>470</v>
      </c>
      <c r="E173" t="s">
        <v>71</v>
      </c>
      <c r="F173" t="s">
        <v>471</v>
      </c>
    </row>
    <row r="174" spans="1:17" ht="270" hidden="1">
      <c r="A174" t="s">
        <v>472</v>
      </c>
      <c r="B174" t="s">
        <v>473</v>
      </c>
      <c r="C174" t="s">
        <v>473</v>
      </c>
      <c r="D174" s="1" t="s">
        <v>474</v>
      </c>
      <c r="E174" t="s">
        <v>60</v>
      </c>
      <c r="F174" t="s">
        <v>475</v>
      </c>
      <c r="G174" t="s">
        <v>62</v>
      </c>
      <c r="H174" t="s">
        <v>476</v>
      </c>
      <c r="I174" t="s">
        <v>63</v>
      </c>
      <c r="J174" t="s">
        <v>477</v>
      </c>
      <c r="K174" t="s">
        <v>64</v>
      </c>
      <c r="L174" t="s">
        <v>64</v>
      </c>
      <c r="M174" t="s">
        <v>65</v>
      </c>
      <c r="N174" t="s">
        <v>64</v>
      </c>
      <c r="O174">
        <v>0</v>
      </c>
      <c r="P174">
        <v>0.25</v>
      </c>
      <c r="Q174" s="1" t="s">
        <v>478</v>
      </c>
    </row>
    <row r="175" spans="1:17">
      <c r="A175" t="s">
        <v>479</v>
      </c>
      <c r="B175" t="s">
        <v>480</v>
      </c>
      <c r="C175" t="s">
        <v>92</v>
      </c>
      <c r="D175" t="s">
        <v>360</v>
      </c>
      <c r="E175" t="s">
        <v>71</v>
      </c>
      <c r="F175" t="s">
        <v>481</v>
      </c>
    </row>
    <row r="176" spans="1:17">
      <c r="A176" t="s">
        <v>482</v>
      </c>
      <c r="B176" t="s">
        <v>483</v>
      </c>
      <c r="C176" t="s">
        <v>483</v>
      </c>
      <c r="D176" t="s">
        <v>484</v>
      </c>
      <c r="E176" t="s">
        <v>71</v>
      </c>
      <c r="F176" t="s">
        <v>485</v>
      </c>
    </row>
    <row r="177" spans="1:17" ht="60" hidden="1">
      <c r="A177" t="s">
        <v>486</v>
      </c>
      <c r="B177" t="s">
        <v>487</v>
      </c>
      <c r="C177" t="s">
        <v>92</v>
      </c>
      <c r="E177" t="s">
        <v>152</v>
      </c>
      <c r="F177" t="s">
        <v>153</v>
      </c>
      <c r="G177" s="1" t="s">
        <v>488</v>
      </c>
      <c r="H177" t="s">
        <v>39</v>
      </c>
      <c r="Q177" t="s">
        <v>489</v>
      </c>
    </row>
    <row r="178" spans="1:17" ht="30" hidden="1">
      <c r="A178" t="s">
        <v>490</v>
      </c>
      <c r="B178" t="s">
        <v>491</v>
      </c>
      <c r="C178" t="s">
        <v>92</v>
      </c>
      <c r="E178" t="s">
        <v>161</v>
      </c>
      <c r="F178" t="s">
        <v>492</v>
      </c>
      <c r="G178" s="1" t="s">
        <v>493</v>
      </c>
      <c r="H178" t="s">
        <v>39</v>
      </c>
      <c r="I178" t="s">
        <v>62</v>
      </c>
      <c r="J178" t="s">
        <v>40</v>
      </c>
      <c r="L178" t="s">
        <v>39</v>
      </c>
      <c r="M178" t="s">
        <v>39</v>
      </c>
      <c r="N178" t="s">
        <v>39</v>
      </c>
      <c r="Q178" t="s">
        <v>494</v>
      </c>
    </row>
    <row r="179" spans="1:17" hidden="1">
      <c r="A179" t="s">
        <v>495</v>
      </c>
      <c r="B179" t="s">
        <v>496</v>
      </c>
      <c r="C179" t="s">
        <v>92</v>
      </c>
      <c r="E179" t="s">
        <v>161</v>
      </c>
      <c r="F179" t="s">
        <v>265</v>
      </c>
      <c r="H179" t="s">
        <v>39</v>
      </c>
    </row>
    <row r="180" spans="1:17" hidden="1">
      <c r="A180" t="s">
        <v>497</v>
      </c>
      <c r="B180" t="s">
        <v>498</v>
      </c>
      <c r="E180" t="s">
        <v>326</v>
      </c>
      <c r="F180" t="s">
        <v>327</v>
      </c>
      <c r="G180" t="s">
        <v>499</v>
      </c>
      <c r="H180" t="s">
        <v>39</v>
      </c>
    </row>
    <row r="181" spans="1:17" hidden="1">
      <c r="A181" t="s">
        <v>336</v>
      </c>
      <c r="B181" t="s">
        <v>500</v>
      </c>
      <c r="C181" t="s">
        <v>500</v>
      </c>
      <c r="E181" t="s">
        <v>50</v>
      </c>
      <c r="F181" t="s">
        <v>338</v>
      </c>
      <c r="I181" t="s">
        <v>39</v>
      </c>
      <c r="J181" t="s">
        <v>39</v>
      </c>
      <c r="M181" t="s">
        <v>39</v>
      </c>
      <c r="O181">
        <v>0</v>
      </c>
      <c r="P181">
        <v>0.8</v>
      </c>
      <c r="Q181" t="s">
        <v>339</v>
      </c>
    </row>
    <row r="182" spans="1:17" hidden="1">
      <c r="A182" t="s">
        <v>501</v>
      </c>
      <c r="B182" t="s">
        <v>501</v>
      </c>
      <c r="C182" t="s">
        <v>501</v>
      </c>
      <c r="E182" t="s">
        <v>50</v>
      </c>
      <c r="F182" t="s">
        <v>51</v>
      </c>
      <c r="J182" t="s">
        <v>39</v>
      </c>
      <c r="M182" t="s">
        <v>39</v>
      </c>
      <c r="O182">
        <v>10000</v>
      </c>
      <c r="P182">
        <v>0.5</v>
      </c>
      <c r="Q182" t="s">
        <v>379</v>
      </c>
    </row>
    <row r="183" spans="1:17" hidden="1">
      <c r="A183" t="s">
        <v>502</v>
      </c>
      <c r="B183" t="s">
        <v>503</v>
      </c>
      <c r="E183" t="s">
        <v>55</v>
      </c>
      <c r="F183" t="s">
        <v>115</v>
      </c>
      <c r="H183" t="s">
        <v>78</v>
      </c>
      <c r="I183" t="s">
        <v>77</v>
      </c>
      <c r="K183" t="s">
        <v>44</v>
      </c>
    </row>
    <row r="184" spans="1:17" hidden="1">
      <c r="A184" t="s">
        <v>504</v>
      </c>
      <c r="B184" t="s">
        <v>505</v>
      </c>
      <c r="C184" t="s">
        <v>505</v>
      </c>
      <c r="E184" t="s">
        <v>55</v>
      </c>
      <c r="F184" t="s">
        <v>76</v>
      </c>
      <c r="H184" t="s">
        <v>78</v>
      </c>
      <c r="I184" t="s">
        <v>78</v>
      </c>
      <c r="J184" t="s">
        <v>39</v>
      </c>
      <c r="K184" t="s">
        <v>78</v>
      </c>
      <c r="L184" t="s">
        <v>39</v>
      </c>
      <c r="M184" t="s">
        <v>39</v>
      </c>
      <c r="N184" t="s">
        <v>39</v>
      </c>
      <c r="O184">
        <v>750000</v>
      </c>
      <c r="Q184" t="s">
        <v>506</v>
      </c>
    </row>
    <row r="185" spans="1:17" hidden="1">
      <c r="A185" t="s">
        <v>504</v>
      </c>
      <c r="B185" t="s">
        <v>507</v>
      </c>
      <c r="C185" t="s">
        <v>508</v>
      </c>
      <c r="E185" t="s">
        <v>55</v>
      </c>
      <c r="F185" t="s">
        <v>509</v>
      </c>
      <c r="H185" t="s">
        <v>78</v>
      </c>
      <c r="I185" t="s">
        <v>78</v>
      </c>
      <c r="J185" t="s">
        <v>39</v>
      </c>
      <c r="K185" t="s">
        <v>78</v>
      </c>
      <c r="L185" t="s">
        <v>39</v>
      </c>
      <c r="M185" t="s">
        <v>39</v>
      </c>
      <c r="N185" t="s">
        <v>39</v>
      </c>
      <c r="Q185" t="s">
        <v>510</v>
      </c>
    </row>
    <row r="186" spans="1:17">
      <c r="A186" t="s">
        <v>412</v>
      </c>
      <c r="B186" t="s">
        <v>511</v>
      </c>
      <c r="C186" t="s">
        <v>511</v>
      </c>
      <c r="D186" t="s">
        <v>100</v>
      </c>
      <c r="E186" t="s">
        <v>71</v>
      </c>
      <c r="F186" t="s">
        <v>259</v>
      </c>
    </row>
    <row r="187" spans="1:17">
      <c r="A187" t="s">
        <v>512</v>
      </c>
      <c r="B187" t="s">
        <v>513</v>
      </c>
      <c r="C187" t="s">
        <v>513</v>
      </c>
      <c r="E187" t="s">
        <v>71</v>
      </c>
      <c r="F187" t="s">
        <v>471</v>
      </c>
    </row>
    <row r="188" spans="1:17" hidden="1">
      <c r="A188" t="s">
        <v>514</v>
      </c>
      <c r="B188" t="s">
        <v>515</v>
      </c>
      <c r="C188" t="s">
        <v>516</v>
      </c>
      <c r="E188" t="s">
        <v>55</v>
      </c>
      <c r="F188" t="s">
        <v>138</v>
      </c>
      <c r="H188" t="s">
        <v>78</v>
      </c>
      <c r="I188" t="s">
        <v>78</v>
      </c>
      <c r="J188" t="s">
        <v>39</v>
      </c>
      <c r="K188" t="s">
        <v>39</v>
      </c>
      <c r="M188" t="s">
        <v>39</v>
      </c>
      <c r="O188">
        <v>50000</v>
      </c>
    </row>
    <row r="189" spans="1:17" hidden="1">
      <c r="A189" t="s">
        <v>517</v>
      </c>
      <c r="B189" t="s">
        <v>517</v>
      </c>
      <c r="C189" t="s">
        <v>517</v>
      </c>
      <c r="E189" t="s">
        <v>55</v>
      </c>
      <c r="F189" t="s">
        <v>518</v>
      </c>
      <c r="H189" t="s">
        <v>77</v>
      </c>
      <c r="I189" t="s">
        <v>77</v>
      </c>
      <c r="J189" t="s">
        <v>78</v>
      </c>
      <c r="K189" t="s">
        <v>78</v>
      </c>
      <c r="L189" t="s">
        <v>78</v>
      </c>
      <c r="M189" t="s">
        <v>77</v>
      </c>
      <c r="N189" t="s">
        <v>78</v>
      </c>
    </row>
    <row r="190" spans="1:17" hidden="1">
      <c r="A190" t="s">
        <v>519</v>
      </c>
      <c r="B190" t="s">
        <v>519</v>
      </c>
      <c r="C190" t="s">
        <v>519</v>
      </c>
      <c r="E190" t="s">
        <v>50</v>
      </c>
      <c r="F190" t="s">
        <v>51</v>
      </c>
      <c r="J190" t="s">
        <v>39</v>
      </c>
      <c r="M190" t="s">
        <v>39</v>
      </c>
      <c r="O190">
        <v>10000</v>
      </c>
      <c r="P190">
        <v>0.5</v>
      </c>
      <c r="Q190" t="s">
        <v>520</v>
      </c>
    </row>
    <row r="191" spans="1:17" hidden="1">
      <c r="A191" t="s">
        <v>521</v>
      </c>
      <c r="E191" t="s">
        <v>55</v>
      </c>
      <c r="F191" t="s">
        <v>285</v>
      </c>
      <c r="H191" t="s">
        <v>77</v>
      </c>
      <c r="J191" t="s">
        <v>78</v>
      </c>
      <c r="K191" t="s">
        <v>78</v>
      </c>
      <c r="L191" t="s">
        <v>78</v>
      </c>
      <c r="O191">
        <v>0</v>
      </c>
    </row>
    <row r="192" spans="1:17" hidden="1">
      <c r="A192" t="s">
        <v>522</v>
      </c>
      <c r="E192" t="s">
        <v>55</v>
      </c>
      <c r="F192" t="s">
        <v>115</v>
      </c>
      <c r="H192" t="s">
        <v>39</v>
      </c>
      <c r="I192" t="s">
        <v>77</v>
      </c>
      <c r="J192" t="s">
        <v>39</v>
      </c>
      <c r="K192" t="s">
        <v>44</v>
      </c>
      <c r="L192" t="s">
        <v>78</v>
      </c>
      <c r="M192" t="s">
        <v>141</v>
      </c>
      <c r="N192" t="s">
        <v>78</v>
      </c>
      <c r="O192">
        <v>0</v>
      </c>
    </row>
    <row r="193" spans="1:8" hidden="1">
      <c r="A193" t="s">
        <v>58</v>
      </c>
      <c r="E193" t="s">
        <v>55</v>
      </c>
      <c r="F193" t="s">
        <v>523</v>
      </c>
      <c r="H193" t="s">
        <v>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B640-77DA-4CB0-8DAA-2A649C3071E3}">
  <dimension ref="A3:F158"/>
  <sheetViews>
    <sheetView workbookViewId="0">
      <selection activeCell="A3" sqref="A3"/>
    </sheetView>
  </sheetViews>
  <sheetFormatPr defaultRowHeight="15"/>
  <cols>
    <col min="1" max="1" width="60.28515625" bestFit="1" customWidth="1"/>
    <col min="2" max="2" width="15.42578125" bestFit="1" customWidth="1"/>
    <col min="5" max="5" width="18.7109375" bestFit="1" customWidth="1"/>
    <col min="6" max="6" width="11.42578125" customWidth="1"/>
  </cols>
  <sheetData>
    <row r="3" spans="1:6">
      <c r="A3" s="18" t="s">
        <v>524</v>
      </c>
      <c r="B3" t="s">
        <v>525</v>
      </c>
      <c r="E3" t="s">
        <v>526</v>
      </c>
      <c r="F3" t="s">
        <v>527</v>
      </c>
    </row>
    <row r="4" spans="1:6">
      <c r="A4" s="19" t="s">
        <v>120</v>
      </c>
      <c r="B4">
        <v>13</v>
      </c>
      <c r="E4" t="s">
        <v>528</v>
      </c>
      <c r="F4" t="s">
        <v>529</v>
      </c>
    </row>
    <row r="5" spans="1:6">
      <c r="A5" s="20" t="s">
        <v>119</v>
      </c>
      <c r="B5">
        <v>1</v>
      </c>
      <c r="E5" t="s">
        <v>71</v>
      </c>
      <c r="F5" t="s">
        <v>530</v>
      </c>
    </row>
    <row r="6" spans="1:6">
      <c r="A6" s="20" t="s">
        <v>193</v>
      </c>
      <c r="B6">
        <v>1</v>
      </c>
      <c r="E6" t="s">
        <v>531</v>
      </c>
      <c r="F6" t="s">
        <v>532</v>
      </c>
    </row>
    <row r="7" spans="1:6">
      <c r="A7" s="20" t="s">
        <v>198</v>
      </c>
      <c r="B7">
        <v>1</v>
      </c>
      <c r="E7" t="s">
        <v>50</v>
      </c>
      <c r="F7" t="s">
        <v>533</v>
      </c>
    </row>
    <row r="8" spans="1:6">
      <c r="A8" s="20" t="s">
        <v>203</v>
      </c>
      <c r="B8">
        <v>1</v>
      </c>
    </row>
    <row r="9" spans="1:6">
      <c r="A9" s="20" t="s">
        <v>208</v>
      </c>
      <c r="B9">
        <v>7</v>
      </c>
    </row>
    <row r="10" spans="1:6">
      <c r="A10" s="20" t="s">
        <v>246</v>
      </c>
      <c r="B10">
        <v>1</v>
      </c>
    </row>
    <row r="11" spans="1:6">
      <c r="A11" s="20" t="s">
        <v>268</v>
      </c>
      <c r="B11">
        <v>1</v>
      </c>
    </row>
    <row r="12" spans="1:6">
      <c r="A12" s="19" t="s">
        <v>36</v>
      </c>
      <c r="B12">
        <v>7</v>
      </c>
    </row>
    <row r="13" spans="1:6">
      <c r="A13" s="20" t="s">
        <v>35</v>
      </c>
      <c r="B13">
        <v>1</v>
      </c>
    </row>
    <row r="14" spans="1:6">
      <c r="A14" s="20" t="s">
        <v>43</v>
      </c>
      <c r="B14">
        <v>1</v>
      </c>
    </row>
    <row r="15" spans="1:6">
      <c r="A15" s="20" t="s">
        <v>91</v>
      </c>
      <c r="B15">
        <v>1</v>
      </c>
    </row>
    <row r="16" spans="1:6">
      <c r="A16" s="20" t="s">
        <v>131</v>
      </c>
      <c r="B16">
        <v>1</v>
      </c>
    </row>
    <row r="17" spans="1:2">
      <c r="A17" s="20" t="s">
        <v>147</v>
      </c>
      <c r="B17">
        <v>1</v>
      </c>
    </row>
    <row r="18" spans="1:2">
      <c r="A18" s="20" t="s">
        <v>165</v>
      </c>
      <c r="B18">
        <v>1</v>
      </c>
    </row>
    <row r="19" spans="1:2">
      <c r="A19" s="20" t="s">
        <v>362</v>
      </c>
      <c r="B19">
        <v>1</v>
      </c>
    </row>
    <row r="20" spans="1:2">
      <c r="A20" s="19" t="s">
        <v>161</v>
      </c>
      <c r="B20">
        <v>12</v>
      </c>
    </row>
    <row r="21" spans="1:2">
      <c r="A21" s="20" t="s">
        <v>159</v>
      </c>
      <c r="B21">
        <v>1</v>
      </c>
    </row>
    <row r="22" spans="1:2">
      <c r="A22" s="20" t="s">
        <v>187</v>
      </c>
      <c r="B22">
        <v>1</v>
      </c>
    </row>
    <row r="23" spans="1:2">
      <c r="A23" s="20" t="s">
        <v>251</v>
      </c>
      <c r="B23">
        <v>1</v>
      </c>
    </row>
    <row r="24" spans="1:2">
      <c r="A24" s="20" t="s">
        <v>264</v>
      </c>
      <c r="B24">
        <v>1</v>
      </c>
    </row>
    <row r="25" spans="1:2">
      <c r="A25" s="20" t="s">
        <v>344</v>
      </c>
      <c r="B25">
        <v>1</v>
      </c>
    </row>
    <row r="26" spans="1:2">
      <c r="A26" s="20" t="s">
        <v>370</v>
      </c>
      <c r="B26">
        <v>1</v>
      </c>
    </row>
    <row r="27" spans="1:2">
      <c r="A27" s="20" t="s">
        <v>391</v>
      </c>
      <c r="B27">
        <v>1</v>
      </c>
    </row>
    <row r="28" spans="1:2">
      <c r="A28" s="20" t="s">
        <v>395</v>
      </c>
      <c r="B28">
        <v>1</v>
      </c>
    </row>
    <row r="29" spans="1:2">
      <c r="A29" s="20" t="s">
        <v>429</v>
      </c>
      <c r="B29">
        <v>1</v>
      </c>
    </row>
    <row r="30" spans="1:2">
      <c r="A30" s="20" t="s">
        <v>434</v>
      </c>
      <c r="B30">
        <v>1</v>
      </c>
    </row>
    <row r="31" spans="1:2">
      <c r="A31" s="20" t="s">
        <v>491</v>
      </c>
      <c r="B31">
        <v>1</v>
      </c>
    </row>
    <row r="32" spans="1:2">
      <c r="A32" s="20" t="s">
        <v>496</v>
      </c>
      <c r="B32">
        <v>1</v>
      </c>
    </row>
    <row r="33" spans="1:2">
      <c r="A33" s="19" t="s">
        <v>326</v>
      </c>
      <c r="B33">
        <v>2</v>
      </c>
    </row>
    <row r="34" spans="1:2">
      <c r="A34" s="20" t="s">
        <v>325</v>
      </c>
      <c r="B34">
        <v>1</v>
      </c>
    </row>
    <row r="35" spans="1:2">
      <c r="A35" s="20" t="s">
        <v>498</v>
      </c>
      <c r="B35">
        <v>1</v>
      </c>
    </row>
    <row r="36" spans="1:2">
      <c r="A36" s="19" t="s">
        <v>295</v>
      </c>
      <c r="B36">
        <v>25</v>
      </c>
    </row>
    <row r="37" spans="1:2">
      <c r="A37" s="20" t="s">
        <v>294</v>
      </c>
      <c r="B37">
        <v>25</v>
      </c>
    </row>
    <row r="38" spans="1:2">
      <c r="A38" s="19" t="s">
        <v>152</v>
      </c>
      <c r="B38">
        <v>8</v>
      </c>
    </row>
    <row r="39" spans="1:2">
      <c r="A39" s="20" t="s">
        <v>151</v>
      </c>
      <c r="B39">
        <v>1</v>
      </c>
    </row>
    <row r="40" spans="1:2">
      <c r="A40" s="20" t="s">
        <v>176</v>
      </c>
      <c r="B40">
        <v>1</v>
      </c>
    </row>
    <row r="41" spans="1:2">
      <c r="A41" s="20" t="s">
        <v>180</v>
      </c>
      <c r="B41">
        <v>1</v>
      </c>
    </row>
    <row r="42" spans="1:2">
      <c r="A42" s="20" t="s">
        <v>184</v>
      </c>
      <c r="B42">
        <v>1</v>
      </c>
    </row>
    <row r="43" spans="1:2">
      <c r="A43" s="20" t="s">
        <v>375</v>
      </c>
      <c r="B43">
        <v>1</v>
      </c>
    </row>
    <row r="44" spans="1:2">
      <c r="A44" s="20" t="s">
        <v>415</v>
      </c>
      <c r="B44">
        <v>1</v>
      </c>
    </row>
    <row r="45" spans="1:2">
      <c r="A45" s="20" t="s">
        <v>452</v>
      </c>
      <c r="B45">
        <v>1</v>
      </c>
    </row>
    <row r="46" spans="1:2">
      <c r="A46" s="20" t="s">
        <v>487</v>
      </c>
      <c r="B46">
        <v>1</v>
      </c>
    </row>
    <row r="47" spans="1:2">
      <c r="A47" s="19" t="s">
        <v>55</v>
      </c>
      <c r="B47">
        <v>22</v>
      </c>
    </row>
    <row r="48" spans="1:2">
      <c r="A48" s="20" t="s">
        <v>54</v>
      </c>
      <c r="B48">
        <v>1</v>
      </c>
    </row>
    <row r="49" spans="1:2">
      <c r="A49" s="20" t="s">
        <v>75</v>
      </c>
      <c r="B49">
        <v>1</v>
      </c>
    </row>
    <row r="50" spans="1:2">
      <c r="A50" s="20" t="s">
        <v>88</v>
      </c>
      <c r="B50">
        <v>1</v>
      </c>
    </row>
    <row r="51" spans="1:2">
      <c r="A51" s="20" t="s">
        <v>114</v>
      </c>
      <c r="B51">
        <v>1</v>
      </c>
    </row>
    <row r="52" spans="1:2">
      <c r="A52" s="20" t="s">
        <v>125</v>
      </c>
      <c r="B52">
        <v>1</v>
      </c>
    </row>
    <row r="53" spans="1:2">
      <c r="A53" s="20" t="s">
        <v>137</v>
      </c>
      <c r="B53">
        <v>1</v>
      </c>
    </row>
    <row r="54" spans="1:2">
      <c r="A54" s="20" t="s">
        <v>140</v>
      </c>
      <c r="B54">
        <v>1</v>
      </c>
    </row>
    <row r="55" spans="1:2">
      <c r="A55" s="20" t="s">
        <v>143</v>
      </c>
      <c r="B55">
        <v>1</v>
      </c>
    </row>
    <row r="56" spans="1:2">
      <c r="A56" s="20" t="s">
        <v>157</v>
      </c>
      <c r="B56">
        <v>1</v>
      </c>
    </row>
    <row r="57" spans="1:2">
      <c r="A57" s="20" t="s">
        <v>278</v>
      </c>
      <c r="B57">
        <v>1</v>
      </c>
    </row>
    <row r="58" spans="1:2">
      <c r="A58" s="20" t="s">
        <v>284</v>
      </c>
      <c r="B58">
        <v>1</v>
      </c>
    </row>
    <row r="59" spans="1:2">
      <c r="A59" s="20" t="s">
        <v>334</v>
      </c>
      <c r="B59">
        <v>1</v>
      </c>
    </row>
    <row r="60" spans="1:2">
      <c r="A60" s="20" t="s">
        <v>404</v>
      </c>
      <c r="B60">
        <v>1</v>
      </c>
    </row>
    <row r="61" spans="1:2">
      <c r="A61" s="20" t="s">
        <v>438</v>
      </c>
      <c r="B61">
        <v>1</v>
      </c>
    </row>
    <row r="62" spans="1:2">
      <c r="A62" s="20" t="s">
        <v>503</v>
      </c>
      <c r="B62">
        <v>1</v>
      </c>
    </row>
    <row r="63" spans="1:2">
      <c r="A63" s="20" t="s">
        <v>505</v>
      </c>
      <c r="B63">
        <v>1</v>
      </c>
    </row>
    <row r="64" spans="1:2">
      <c r="A64" s="20" t="s">
        <v>507</v>
      </c>
      <c r="B64">
        <v>1</v>
      </c>
    </row>
    <row r="65" spans="1:2">
      <c r="A65" s="20" t="s">
        <v>515</v>
      </c>
      <c r="B65">
        <v>1</v>
      </c>
    </row>
    <row r="66" spans="1:2">
      <c r="A66" s="20" t="s">
        <v>517</v>
      </c>
      <c r="B66">
        <v>1</v>
      </c>
    </row>
    <row r="67" spans="1:2">
      <c r="A67" s="20" t="s">
        <v>534</v>
      </c>
      <c r="B67">
        <v>3</v>
      </c>
    </row>
    <row r="68" spans="1:2">
      <c r="A68" s="19" t="s">
        <v>111</v>
      </c>
      <c r="B68">
        <v>7</v>
      </c>
    </row>
    <row r="69" spans="1:2">
      <c r="A69" s="20" t="s">
        <v>110</v>
      </c>
      <c r="B69">
        <v>1</v>
      </c>
    </row>
    <row r="70" spans="1:2">
      <c r="A70" s="20" t="s">
        <v>280</v>
      </c>
      <c r="B70">
        <v>1</v>
      </c>
    </row>
    <row r="71" spans="1:2">
      <c r="A71" s="20" t="s">
        <v>352</v>
      </c>
      <c r="B71">
        <v>1</v>
      </c>
    </row>
    <row r="72" spans="1:2">
      <c r="A72" s="20" t="s">
        <v>400</v>
      </c>
      <c r="B72">
        <v>1</v>
      </c>
    </row>
    <row r="73" spans="1:2">
      <c r="A73" s="20" t="s">
        <v>450</v>
      </c>
      <c r="B73">
        <v>1</v>
      </c>
    </row>
    <row r="74" spans="1:2">
      <c r="A74" s="20" t="s">
        <v>459</v>
      </c>
      <c r="B74">
        <v>1</v>
      </c>
    </row>
    <row r="75" spans="1:2">
      <c r="A75" s="20" t="s">
        <v>461</v>
      </c>
      <c r="B75">
        <v>1</v>
      </c>
    </row>
    <row r="76" spans="1:2">
      <c r="A76" s="19" t="s">
        <v>50</v>
      </c>
      <c r="B76">
        <v>29</v>
      </c>
    </row>
    <row r="77" spans="1:2">
      <c r="A77" s="20" t="s">
        <v>49</v>
      </c>
      <c r="B77">
        <v>1</v>
      </c>
    </row>
    <row r="78" spans="1:2">
      <c r="A78" s="20" t="s">
        <v>96</v>
      </c>
      <c r="B78">
        <v>1</v>
      </c>
    </row>
    <row r="79" spans="1:2">
      <c r="A79" s="20" t="s">
        <v>117</v>
      </c>
      <c r="B79">
        <v>1</v>
      </c>
    </row>
    <row r="80" spans="1:2">
      <c r="A80" s="20" t="s">
        <v>169</v>
      </c>
      <c r="B80">
        <v>1</v>
      </c>
    </row>
    <row r="81" spans="1:2">
      <c r="A81" s="20" t="s">
        <v>191</v>
      </c>
      <c r="B81">
        <v>1</v>
      </c>
    </row>
    <row r="82" spans="1:2">
      <c r="A82" s="20" t="s">
        <v>195</v>
      </c>
      <c r="B82">
        <v>1</v>
      </c>
    </row>
    <row r="83" spans="1:2">
      <c r="A83" s="20" t="s">
        <v>255</v>
      </c>
      <c r="B83">
        <v>1</v>
      </c>
    </row>
    <row r="84" spans="1:2">
      <c r="A84" s="20" t="s">
        <v>271</v>
      </c>
      <c r="B84">
        <v>1</v>
      </c>
    </row>
    <row r="85" spans="1:2">
      <c r="A85" s="20" t="s">
        <v>281</v>
      </c>
      <c r="B85">
        <v>1</v>
      </c>
    </row>
    <row r="86" spans="1:2">
      <c r="A86" s="20" t="s">
        <v>337</v>
      </c>
      <c r="B86">
        <v>1</v>
      </c>
    </row>
    <row r="87" spans="1:2">
      <c r="A87" s="20" t="s">
        <v>341</v>
      </c>
      <c r="B87">
        <v>1</v>
      </c>
    </row>
    <row r="88" spans="1:2">
      <c r="A88" s="20" t="s">
        <v>366</v>
      </c>
      <c r="B88">
        <v>1</v>
      </c>
    </row>
    <row r="89" spans="1:2">
      <c r="A89" s="20" t="s">
        <v>367</v>
      </c>
      <c r="B89">
        <v>1</v>
      </c>
    </row>
    <row r="90" spans="1:2">
      <c r="A90" s="20" t="s">
        <v>378</v>
      </c>
      <c r="B90">
        <v>1</v>
      </c>
    </row>
    <row r="91" spans="1:2">
      <c r="A91" s="20" t="s">
        <v>381</v>
      </c>
      <c r="B91">
        <v>1</v>
      </c>
    </row>
    <row r="92" spans="1:2">
      <c r="A92" s="20" t="s">
        <v>383</v>
      </c>
      <c r="B92">
        <v>1</v>
      </c>
    </row>
    <row r="93" spans="1:2">
      <c r="A93" s="20" t="s">
        <v>385</v>
      </c>
      <c r="B93">
        <v>1</v>
      </c>
    </row>
    <row r="94" spans="1:2">
      <c r="A94" s="20" t="s">
        <v>402</v>
      </c>
      <c r="B94">
        <v>1</v>
      </c>
    </row>
    <row r="95" spans="1:2">
      <c r="A95" s="20" t="s">
        <v>420</v>
      </c>
      <c r="B95">
        <v>1</v>
      </c>
    </row>
    <row r="96" spans="1:2">
      <c r="A96" s="20" t="s">
        <v>444</v>
      </c>
      <c r="B96">
        <v>1</v>
      </c>
    </row>
    <row r="97" spans="1:2">
      <c r="A97" s="20" t="s">
        <v>446</v>
      </c>
      <c r="B97">
        <v>1</v>
      </c>
    </row>
    <row r="98" spans="1:2">
      <c r="A98" s="20" t="s">
        <v>448</v>
      </c>
      <c r="B98">
        <v>1</v>
      </c>
    </row>
    <row r="99" spans="1:2">
      <c r="A99" s="20" t="s">
        <v>456</v>
      </c>
      <c r="B99">
        <v>1</v>
      </c>
    </row>
    <row r="100" spans="1:2">
      <c r="A100" s="20" t="s">
        <v>457</v>
      </c>
      <c r="B100">
        <v>1</v>
      </c>
    </row>
    <row r="101" spans="1:2">
      <c r="A101" s="20" t="s">
        <v>465</v>
      </c>
      <c r="B101">
        <v>1</v>
      </c>
    </row>
    <row r="102" spans="1:2">
      <c r="A102" s="20" t="s">
        <v>467</v>
      </c>
      <c r="B102">
        <v>1</v>
      </c>
    </row>
    <row r="103" spans="1:2">
      <c r="A103" s="20" t="s">
        <v>500</v>
      </c>
      <c r="B103">
        <v>1</v>
      </c>
    </row>
    <row r="104" spans="1:2">
      <c r="A104" s="20" t="s">
        <v>501</v>
      </c>
      <c r="B104">
        <v>1</v>
      </c>
    </row>
    <row r="105" spans="1:2">
      <c r="A105" s="20" t="s">
        <v>519</v>
      </c>
      <c r="B105">
        <v>1</v>
      </c>
    </row>
    <row r="106" spans="1:2">
      <c r="A106" s="19" t="s">
        <v>60</v>
      </c>
      <c r="B106">
        <v>19</v>
      </c>
    </row>
    <row r="107" spans="1:2">
      <c r="A107" s="20" t="s">
        <v>58</v>
      </c>
      <c r="B107">
        <v>1</v>
      </c>
    </row>
    <row r="108" spans="1:2">
      <c r="A108" s="20" t="s">
        <v>223</v>
      </c>
      <c r="B108">
        <v>15</v>
      </c>
    </row>
    <row r="109" spans="1:2">
      <c r="A109" s="20" t="s">
        <v>354</v>
      </c>
      <c r="B109">
        <v>1</v>
      </c>
    </row>
    <row r="110" spans="1:2">
      <c r="A110" s="20" t="s">
        <v>423</v>
      </c>
      <c r="B110">
        <v>1</v>
      </c>
    </row>
    <row r="111" spans="1:2">
      <c r="A111" s="20" t="s">
        <v>473</v>
      </c>
      <c r="B111">
        <v>1</v>
      </c>
    </row>
    <row r="112" spans="1:2">
      <c r="A112" s="19" t="s">
        <v>71</v>
      </c>
      <c r="B112">
        <v>46</v>
      </c>
    </row>
    <row r="113" spans="1:2">
      <c r="A113" s="20" t="s">
        <v>69</v>
      </c>
      <c r="B113">
        <v>1</v>
      </c>
    </row>
    <row r="114" spans="1:2">
      <c r="A114" s="20" t="s">
        <v>73</v>
      </c>
      <c r="B114">
        <v>1</v>
      </c>
    </row>
    <row r="115" spans="1:2">
      <c r="A115" s="20" t="s">
        <v>74</v>
      </c>
      <c r="B115">
        <v>1</v>
      </c>
    </row>
    <row r="116" spans="1:2">
      <c r="A116" s="20" t="s">
        <v>81</v>
      </c>
      <c r="B116">
        <v>1</v>
      </c>
    </row>
    <row r="117" spans="1:2">
      <c r="A117" s="20" t="s">
        <v>83</v>
      </c>
      <c r="B117">
        <v>1</v>
      </c>
    </row>
    <row r="118" spans="1:2">
      <c r="A118" s="20" t="s">
        <v>84</v>
      </c>
      <c r="B118">
        <v>1</v>
      </c>
    </row>
    <row r="119" spans="1:2">
      <c r="A119" s="20" t="s">
        <v>85</v>
      </c>
      <c r="B119">
        <v>1</v>
      </c>
    </row>
    <row r="120" spans="1:2">
      <c r="A120" s="20" t="s">
        <v>99</v>
      </c>
      <c r="B120">
        <v>1</v>
      </c>
    </row>
    <row r="121" spans="1:2">
      <c r="A121" s="20" t="s">
        <v>102</v>
      </c>
      <c r="B121">
        <v>1</v>
      </c>
    </row>
    <row r="122" spans="1:2">
      <c r="A122" s="20" t="s">
        <v>103</v>
      </c>
      <c r="B122">
        <v>1</v>
      </c>
    </row>
    <row r="123" spans="1:2">
      <c r="A123" s="20" t="s">
        <v>104</v>
      </c>
      <c r="B123">
        <v>1</v>
      </c>
    </row>
    <row r="124" spans="1:2">
      <c r="A124" s="20" t="s">
        <v>105</v>
      </c>
      <c r="B124">
        <v>1</v>
      </c>
    </row>
    <row r="125" spans="1:2">
      <c r="A125" s="20" t="s">
        <v>106</v>
      </c>
      <c r="B125">
        <v>1</v>
      </c>
    </row>
    <row r="126" spans="1:2">
      <c r="A126" s="20" t="s">
        <v>109</v>
      </c>
      <c r="B126">
        <v>1</v>
      </c>
    </row>
    <row r="127" spans="1:2">
      <c r="A127" s="20" t="s">
        <v>128</v>
      </c>
      <c r="B127">
        <v>1</v>
      </c>
    </row>
    <row r="128" spans="1:2">
      <c r="A128" s="20" t="s">
        <v>171</v>
      </c>
      <c r="B128">
        <v>2</v>
      </c>
    </row>
    <row r="129" spans="1:2">
      <c r="A129" s="20" t="s">
        <v>243</v>
      </c>
      <c r="B129">
        <v>1</v>
      </c>
    </row>
    <row r="130" spans="1:2">
      <c r="A130" s="20" t="s">
        <v>258</v>
      </c>
      <c r="B130">
        <v>1</v>
      </c>
    </row>
    <row r="131" spans="1:2">
      <c r="A131" s="20" t="s">
        <v>261</v>
      </c>
      <c r="B131">
        <v>1</v>
      </c>
    </row>
    <row r="132" spans="1:2">
      <c r="A132" s="20" t="s">
        <v>274</v>
      </c>
      <c r="B132">
        <v>1</v>
      </c>
    </row>
    <row r="133" spans="1:2">
      <c r="A133" s="20" t="s">
        <v>287</v>
      </c>
      <c r="B133">
        <v>1</v>
      </c>
    </row>
    <row r="134" spans="1:2">
      <c r="A134" s="20" t="s">
        <v>289</v>
      </c>
      <c r="B134">
        <v>1</v>
      </c>
    </row>
    <row r="135" spans="1:2">
      <c r="A135" s="20" t="s">
        <v>291</v>
      </c>
      <c r="B135">
        <v>1</v>
      </c>
    </row>
    <row r="136" spans="1:2">
      <c r="A136" s="20" t="s">
        <v>323</v>
      </c>
      <c r="B136">
        <v>1</v>
      </c>
    </row>
    <row r="137" spans="1:2">
      <c r="A137" s="20" t="s">
        <v>330</v>
      </c>
      <c r="B137">
        <v>1</v>
      </c>
    </row>
    <row r="138" spans="1:2">
      <c r="A138" s="20" t="s">
        <v>349</v>
      </c>
      <c r="B138">
        <v>1</v>
      </c>
    </row>
    <row r="139" spans="1:2">
      <c r="A139" s="20" t="s">
        <v>359</v>
      </c>
      <c r="B139">
        <v>1</v>
      </c>
    </row>
    <row r="140" spans="1:2">
      <c r="A140" s="20" t="s">
        <v>368</v>
      </c>
      <c r="B140">
        <v>1</v>
      </c>
    </row>
    <row r="141" spans="1:2">
      <c r="A141" s="20" t="s">
        <v>386</v>
      </c>
      <c r="B141">
        <v>1</v>
      </c>
    </row>
    <row r="142" spans="1:2">
      <c r="A142" s="20" t="s">
        <v>387</v>
      </c>
      <c r="B142">
        <v>1</v>
      </c>
    </row>
    <row r="143" spans="1:2">
      <c r="A143" s="20" t="s">
        <v>388</v>
      </c>
      <c r="B143">
        <v>1</v>
      </c>
    </row>
    <row r="144" spans="1:2">
      <c r="A144" s="20" t="s">
        <v>406</v>
      </c>
      <c r="B144">
        <v>1</v>
      </c>
    </row>
    <row r="145" spans="1:2">
      <c r="A145" s="20" t="s">
        <v>408</v>
      </c>
      <c r="B145">
        <v>1</v>
      </c>
    </row>
    <row r="146" spans="1:2">
      <c r="A146" s="20" t="s">
        <v>410</v>
      </c>
      <c r="B146">
        <v>1</v>
      </c>
    </row>
    <row r="147" spans="1:2">
      <c r="A147" s="20" t="s">
        <v>413</v>
      </c>
      <c r="B147">
        <v>1</v>
      </c>
    </row>
    <row r="148" spans="1:2">
      <c r="A148" s="20" t="s">
        <v>414</v>
      </c>
      <c r="B148">
        <v>1</v>
      </c>
    </row>
    <row r="149" spans="1:2">
      <c r="A149" s="20" t="s">
        <v>418</v>
      </c>
      <c r="B149">
        <v>1</v>
      </c>
    </row>
    <row r="150" spans="1:2">
      <c r="A150" s="20" t="s">
        <v>441</v>
      </c>
      <c r="B150">
        <v>1</v>
      </c>
    </row>
    <row r="151" spans="1:2">
      <c r="A151" s="20" t="s">
        <v>462</v>
      </c>
      <c r="B151">
        <v>1</v>
      </c>
    </row>
    <row r="152" spans="1:2">
      <c r="A152" s="20" t="s">
        <v>464</v>
      </c>
      <c r="B152">
        <v>1</v>
      </c>
    </row>
    <row r="153" spans="1:2">
      <c r="A153" s="20" t="s">
        <v>470</v>
      </c>
      <c r="B153">
        <v>1</v>
      </c>
    </row>
    <row r="154" spans="1:2">
      <c r="A154" s="20" t="s">
        <v>480</v>
      </c>
      <c r="B154">
        <v>1</v>
      </c>
    </row>
    <row r="155" spans="1:2">
      <c r="A155" s="20" t="s">
        <v>483</v>
      </c>
      <c r="B155">
        <v>1</v>
      </c>
    </row>
    <row r="156" spans="1:2">
      <c r="A156" s="20" t="s">
        <v>511</v>
      </c>
      <c r="B156">
        <v>1</v>
      </c>
    </row>
    <row r="157" spans="1:2">
      <c r="A157" s="20" t="s">
        <v>513</v>
      </c>
      <c r="B157">
        <v>1</v>
      </c>
    </row>
    <row r="158" spans="1:2">
      <c r="A158" s="19" t="s">
        <v>535</v>
      </c>
      <c r="B158">
        <v>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067C1-AC0B-4E03-81C3-E8C367EF4F7F}">
  <dimension ref="A1:V16"/>
  <sheetViews>
    <sheetView workbookViewId="0">
      <selection activeCell="M6" sqref="M6"/>
    </sheetView>
  </sheetViews>
  <sheetFormatPr defaultRowHeight="15"/>
  <cols>
    <col min="1" max="1" width="35.85546875" bestFit="1" customWidth="1"/>
    <col min="2" max="3" width="25.42578125" bestFit="1" customWidth="1"/>
    <col min="4" max="4" width="57.5703125" bestFit="1" customWidth="1"/>
    <col min="5" max="5" width="15.7109375" bestFit="1" customWidth="1"/>
    <col min="6" max="6" width="35.42578125" bestFit="1" customWidth="1"/>
    <col min="7" max="7" width="55" bestFit="1" customWidth="1"/>
    <col min="8" max="8" width="35.5703125" bestFit="1" customWidth="1"/>
    <col min="9" max="9" width="39.7109375" bestFit="1" customWidth="1"/>
    <col min="10" max="10" width="28.7109375" bestFit="1" customWidth="1"/>
    <col min="11" max="11" width="18.28515625" bestFit="1" customWidth="1"/>
    <col min="12" max="12" width="29.5703125" bestFit="1" customWidth="1"/>
    <col min="13" max="13" width="27.28515625" bestFit="1" customWidth="1"/>
    <col min="14" max="14" width="16.42578125" bestFit="1" customWidth="1"/>
    <col min="15" max="15" width="17.140625" bestFit="1" customWidth="1"/>
    <col min="16" max="16" width="25.7109375" bestFit="1" customWidth="1"/>
    <col min="17" max="17" width="191.85546875" bestFit="1" customWidth="1"/>
    <col min="18" max="18" width="11.7109375" bestFit="1" customWidth="1"/>
    <col min="19" max="19" width="25.28515625" bestFit="1" customWidth="1"/>
    <col min="20" max="20" width="35" bestFit="1" customWidth="1"/>
    <col min="21" max="21" width="14.85546875" bestFit="1" customWidth="1"/>
    <col min="22" max="22" width="126.85546875" bestFit="1" customWidth="1"/>
  </cols>
  <sheetData>
    <row r="1" spans="1:22">
      <c r="A1" s="35" t="s">
        <v>536</v>
      </c>
    </row>
    <row r="3" spans="1:22">
      <c r="A3" t="s">
        <v>0</v>
      </c>
      <c r="B3" t="s">
        <v>1</v>
      </c>
      <c r="C3" t="s">
        <v>21</v>
      </c>
      <c r="D3" t="s">
        <v>22</v>
      </c>
      <c r="E3" t="s">
        <v>23</v>
      </c>
      <c r="F3" t="s">
        <v>24</v>
      </c>
      <c r="G3" t="s">
        <v>25</v>
      </c>
      <c r="H3" t="s">
        <v>26</v>
      </c>
      <c r="I3" t="s">
        <v>27</v>
      </c>
      <c r="J3" t="s">
        <v>28</v>
      </c>
      <c r="K3" t="s">
        <v>29</v>
      </c>
      <c r="L3" t="s">
        <v>30</v>
      </c>
      <c r="M3" t="s">
        <v>31</v>
      </c>
      <c r="N3" t="s">
        <v>32</v>
      </c>
      <c r="O3" t="s">
        <v>33</v>
      </c>
      <c r="P3" t="s">
        <v>5</v>
      </c>
      <c r="Q3" t="s">
        <v>9</v>
      </c>
      <c r="R3" t="s">
        <v>537</v>
      </c>
      <c r="S3" t="s">
        <v>538</v>
      </c>
      <c r="T3" t="s">
        <v>539</v>
      </c>
      <c r="U3" t="s">
        <v>540</v>
      </c>
      <c r="V3" t="s">
        <v>541</v>
      </c>
    </row>
    <row r="4" spans="1:22">
      <c r="A4" t="s">
        <v>202</v>
      </c>
      <c r="B4" t="s">
        <v>203</v>
      </c>
      <c r="C4" t="s">
        <v>92</v>
      </c>
      <c r="E4" t="s">
        <v>120</v>
      </c>
      <c r="F4" t="s">
        <v>204</v>
      </c>
      <c r="G4" t="s">
        <v>205</v>
      </c>
      <c r="H4" t="s">
        <v>206</v>
      </c>
      <c r="I4" t="s">
        <v>39</v>
      </c>
      <c r="U4" t="s">
        <v>44</v>
      </c>
    </row>
    <row r="5" spans="1:22">
      <c r="A5" t="s">
        <v>267</v>
      </c>
      <c r="B5" t="s">
        <v>268</v>
      </c>
      <c r="C5" t="s">
        <v>268</v>
      </c>
      <c r="E5" t="s">
        <v>120</v>
      </c>
      <c r="F5" t="s">
        <v>269</v>
      </c>
      <c r="G5" t="s">
        <v>270</v>
      </c>
      <c r="H5" t="s">
        <v>39</v>
      </c>
      <c r="O5">
        <v>50000</v>
      </c>
      <c r="R5" t="s">
        <v>527</v>
      </c>
      <c r="T5" t="s">
        <v>542</v>
      </c>
      <c r="U5" t="s">
        <v>543</v>
      </c>
    </row>
    <row r="6" spans="1:22">
      <c r="A6" t="s">
        <v>192</v>
      </c>
      <c r="B6" t="s">
        <v>193</v>
      </c>
      <c r="C6" t="s">
        <v>193</v>
      </c>
      <c r="E6" t="s">
        <v>120</v>
      </c>
      <c r="F6" t="s">
        <v>194</v>
      </c>
      <c r="G6" t="s">
        <v>77</v>
      </c>
      <c r="H6" t="s">
        <v>78</v>
      </c>
      <c r="O6">
        <v>20000</v>
      </c>
      <c r="T6" t="s">
        <v>542</v>
      </c>
      <c r="U6" t="s">
        <v>544</v>
      </c>
    </row>
    <row r="7" spans="1:22">
      <c r="A7" t="s">
        <v>207</v>
      </c>
      <c r="B7" t="s">
        <v>208</v>
      </c>
      <c r="C7" t="s">
        <v>92</v>
      </c>
      <c r="E7" t="s">
        <v>120</v>
      </c>
      <c r="F7" t="s">
        <v>204</v>
      </c>
      <c r="G7" t="s">
        <v>209</v>
      </c>
      <c r="H7" t="s">
        <v>206</v>
      </c>
      <c r="I7" t="s">
        <v>39</v>
      </c>
      <c r="O7">
        <v>20000</v>
      </c>
      <c r="R7" t="s">
        <v>527</v>
      </c>
      <c r="S7" t="s">
        <v>545</v>
      </c>
      <c r="T7" t="s">
        <v>542</v>
      </c>
      <c r="U7" t="s">
        <v>544</v>
      </c>
      <c r="V7" t="s">
        <v>546</v>
      </c>
    </row>
    <row r="8" spans="1:22">
      <c r="A8" t="s">
        <v>210</v>
      </c>
      <c r="B8" t="s">
        <v>208</v>
      </c>
      <c r="C8" t="s">
        <v>92</v>
      </c>
      <c r="E8" t="s">
        <v>120</v>
      </c>
      <c r="F8" t="s">
        <v>204</v>
      </c>
      <c r="G8" t="s">
        <v>211</v>
      </c>
      <c r="H8" t="s">
        <v>206</v>
      </c>
      <c r="I8" t="s">
        <v>39</v>
      </c>
      <c r="O8">
        <v>20000</v>
      </c>
      <c r="R8" t="s">
        <v>527</v>
      </c>
      <c r="S8" t="s">
        <v>545</v>
      </c>
      <c r="T8" t="s">
        <v>542</v>
      </c>
      <c r="U8" t="s">
        <v>544</v>
      </c>
      <c r="V8" t="s">
        <v>546</v>
      </c>
    </row>
    <row r="9" spans="1:22" ht="45">
      <c r="A9" t="s">
        <v>212</v>
      </c>
      <c r="B9" t="s">
        <v>208</v>
      </c>
      <c r="C9" t="s">
        <v>92</v>
      </c>
      <c r="E9" t="s">
        <v>120</v>
      </c>
      <c r="F9" t="s">
        <v>204</v>
      </c>
      <c r="G9" s="1" t="s">
        <v>213</v>
      </c>
      <c r="H9" t="s">
        <v>214</v>
      </c>
      <c r="I9" t="s">
        <v>39</v>
      </c>
      <c r="O9">
        <v>20000</v>
      </c>
      <c r="R9" t="s">
        <v>527</v>
      </c>
      <c r="S9" t="s">
        <v>545</v>
      </c>
      <c r="T9" t="s">
        <v>542</v>
      </c>
      <c r="U9" t="s">
        <v>544</v>
      </c>
      <c r="V9" t="s">
        <v>546</v>
      </c>
    </row>
    <row r="10" spans="1:22" ht="30">
      <c r="A10" t="s">
        <v>215</v>
      </c>
      <c r="B10" t="s">
        <v>208</v>
      </c>
      <c r="C10" t="s">
        <v>92</v>
      </c>
      <c r="E10" t="s">
        <v>120</v>
      </c>
      <c r="F10" t="s">
        <v>204</v>
      </c>
      <c r="G10" s="1" t="s">
        <v>216</v>
      </c>
      <c r="H10" t="s">
        <v>206</v>
      </c>
      <c r="I10" t="s">
        <v>39</v>
      </c>
      <c r="O10">
        <v>20000</v>
      </c>
      <c r="R10" t="s">
        <v>527</v>
      </c>
      <c r="S10" t="s">
        <v>545</v>
      </c>
      <c r="T10" t="s">
        <v>542</v>
      </c>
      <c r="U10" t="s">
        <v>544</v>
      </c>
      <c r="V10" t="s">
        <v>546</v>
      </c>
    </row>
    <row r="11" spans="1:22" ht="30">
      <c r="A11" t="s">
        <v>217</v>
      </c>
      <c r="B11" t="s">
        <v>208</v>
      </c>
      <c r="C11" t="s">
        <v>92</v>
      </c>
      <c r="E11" t="s">
        <v>120</v>
      </c>
      <c r="F11" t="s">
        <v>204</v>
      </c>
      <c r="G11" s="1" t="s">
        <v>218</v>
      </c>
      <c r="H11" t="s">
        <v>206</v>
      </c>
      <c r="I11" t="s">
        <v>39</v>
      </c>
      <c r="O11">
        <v>20000</v>
      </c>
      <c r="R11" t="s">
        <v>527</v>
      </c>
      <c r="S11" t="s">
        <v>545</v>
      </c>
      <c r="T11" t="s">
        <v>542</v>
      </c>
      <c r="U11" t="s">
        <v>544</v>
      </c>
      <c r="V11" t="s">
        <v>546</v>
      </c>
    </row>
    <row r="12" spans="1:22">
      <c r="A12" t="s">
        <v>219</v>
      </c>
      <c r="B12" t="s">
        <v>208</v>
      </c>
      <c r="C12" t="s">
        <v>92</v>
      </c>
      <c r="E12" t="s">
        <v>120</v>
      </c>
      <c r="F12" t="s">
        <v>204</v>
      </c>
      <c r="G12" t="s">
        <v>220</v>
      </c>
      <c r="H12" t="s">
        <v>206</v>
      </c>
      <c r="I12" t="s">
        <v>39</v>
      </c>
      <c r="O12">
        <v>20000</v>
      </c>
      <c r="R12" t="s">
        <v>527</v>
      </c>
      <c r="S12" t="s">
        <v>545</v>
      </c>
      <c r="T12" t="s">
        <v>542</v>
      </c>
      <c r="U12" t="s">
        <v>544</v>
      </c>
      <c r="V12" t="s">
        <v>546</v>
      </c>
    </row>
    <row r="13" spans="1:22">
      <c r="A13" t="s">
        <v>221</v>
      </c>
      <c r="B13" t="s">
        <v>208</v>
      </c>
      <c r="C13" t="s">
        <v>92</v>
      </c>
      <c r="E13" t="s">
        <v>120</v>
      </c>
      <c r="F13" t="s">
        <v>204</v>
      </c>
      <c r="G13" t="s">
        <v>220</v>
      </c>
      <c r="H13" t="s">
        <v>206</v>
      </c>
      <c r="I13" t="s">
        <v>39</v>
      </c>
      <c r="O13">
        <v>20000</v>
      </c>
      <c r="R13" t="s">
        <v>527</v>
      </c>
      <c r="S13" t="s">
        <v>545</v>
      </c>
      <c r="T13" t="s">
        <v>542</v>
      </c>
      <c r="U13" t="s">
        <v>544</v>
      </c>
      <c r="V13" t="s">
        <v>546</v>
      </c>
    </row>
    <row r="14" spans="1:22">
      <c r="A14" t="s">
        <v>245</v>
      </c>
      <c r="B14" t="s">
        <v>246</v>
      </c>
      <c r="C14" t="s">
        <v>247</v>
      </c>
      <c r="E14" t="s">
        <v>120</v>
      </c>
      <c r="F14" t="s">
        <v>248</v>
      </c>
      <c r="G14" t="s">
        <v>249</v>
      </c>
      <c r="H14" t="s">
        <v>39</v>
      </c>
      <c r="I14" t="s">
        <v>39</v>
      </c>
      <c r="J14" t="s">
        <v>141</v>
      </c>
      <c r="K14" t="s">
        <v>78</v>
      </c>
      <c r="O14">
        <v>20000</v>
      </c>
      <c r="R14" t="s">
        <v>527</v>
      </c>
      <c r="T14" t="s">
        <v>542</v>
      </c>
      <c r="U14" t="s">
        <v>544</v>
      </c>
      <c r="V14" t="s">
        <v>547</v>
      </c>
    </row>
    <row r="15" spans="1:22" ht="30">
      <c r="A15" t="s">
        <v>118</v>
      </c>
      <c r="B15" t="s">
        <v>119</v>
      </c>
      <c r="C15" t="s">
        <v>119</v>
      </c>
      <c r="D15" t="s">
        <v>548</v>
      </c>
      <c r="E15" t="s">
        <v>120</v>
      </c>
      <c r="F15" t="s">
        <v>121</v>
      </c>
      <c r="G15" s="1" t="s">
        <v>122</v>
      </c>
      <c r="H15" t="s">
        <v>39</v>
      </c>
      <c r="I15" t="s">
        <v>39</v>
      </c>
      <c r="J15" t="s">
        <v>39</v>
      </c>
      <c r="K15" t="s">
        <v>44</v>
      </c>
      <c r="L15" t="s">
        <v>78</v>
      </c>
      <c r="O15">
        <v>75000</v>
      </c>
      <c r="Q15" t="s">
        <v>123</v>
      </c>
      <c r="R15" t="s">
        <v>527</v>
      </c>
      <c r="T15" t="s">
        <v>542</v>
      </c>
      <c r="U15" t="s">
        <v>549</v>
      </c>
      <c r="V15" t="s">
        <v>550</v>
      </c>
    </row>
    <row r="16" spans="1:22">
      <c r="A16" t="s">
        <v>197</v>
      </c>
      <c r="B16" t="s">
        <v>198</v>
      </c>
      <c r="C16" t="s">
        <v>92</v>
      </c>
      <c r="E16" t="s">
        <v>120</v>
      </c>
      <c r="F16" t="s">
        <v>199</v>
      </c>
      <c r="G16" t="s">
        <v>200</v>
      </c>
      <c r="H16" t="s">
        <v>78</v>
      </c>
      <c r="J16" t="s">
        <v>141</v>
      </c>
      <c r="K16" t="s">
        <v>141</v>
      </c>
      <c r="N16" t="s">
        <v>141</v>
      </c>
      <c r="Q16" t="s">
        <v>201</v>
      </c>
      <c r="R16" t="s">
        <v>527</v>
      </c>
      <c r="T16" t="s">
        <v>551</v>
      </c>
      <c r="U16" t="s">
        <v>551</v>
      </c>
      <c r="V16" t="s">
        <v>552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CC-60E0-41BC-A3E5-E586A880CA57}">
  <dimension ref="A3:K175"/>
  <sheetViews>
    <sheetView workbookViewId="0">
      <selection activeCell="I13" sqref="I13"/>
    </sheetView>
  </sheetViews>
  <sheetFormatPr defaultRowHeight="15"/>
  <cols>
    <col min="1" max="1" width="22.42578125" bestFit="1" customWidth="1"/>
    <col min="2" max="2" width="21.28515625" bestFit="1" customWidth="1"/>
    <col min="6" max="7" width="21.140625" bestFit="1" customWidth="1"/>
    <col min="10" max="10" width="46" bestFit="1" customWidth="1"/>
    <col min="11" max="11" width="19.85546875" bestFit="1" customWidth="1"/>
  </cols>
  <sheetData>
    <row r="3" spans="1:11">
      <c r="A3" s="18" t="s">
        <v>524</v>
      </c>
      <c r="B3" t="s">
        <v>553</v>
      </c>
      <c r="F3" s="18" t="s">
        <v>524</v>
      </c>
      <c r="G3" t="s">
        <v>554</v>
      </c>
      <c r="J3" s="18" t="s">
        <v>524</v>
      </c>
      <c r="K3" t="s">
        <v>553</v>
      </c>
    </row>
    <row r="4" spans="1:11">
      <c r="A4" s="19" t="s">
        <v>120</v>
      </c>
      <c r="B4">
        <v>305000</v>
      </c>
      <c r="F4" s="19" t="s">
        <v>120</v>
      </c>
      <c r="G4">
        <v>11</v>
      </c>
      <c r="J4" s="19" t="s">
        <v>120</v>
      </c>
      <c r="K4">
        <v>305000</v>
      </c>
    </row>
    <row r="5" spans="1:11">
      <c r="A5" s="19" t="s">
        <v>36</v>
      </c>
      <c r="B5">
        <v>135000</v>
      </c>
      <c r="F5" s="20" t="s">
        <v>44</v>
      </c>
      <c r="J5" s="20" t="s">
        <v>118</v>
      </c>
      <c r="K5">
        <v>75000</v>
      </c>
    </row>
    <row r="6" spans="1:11">
      <c r="A6" s="19" t="s">
        <v>161</v>
      </c>
      <c r="B6">
        <v>315000</v>
      </c>
      <c r="F6" s="20" t="s">
        <v>543</v>
      </c>
      <c r="G6">
        <v>1</v>
      </c>
      <c r="J6" s="20" t="s">
        <v>207</v>
      </c>
      <c r="K6">
        <v>20000</v>
      </c>
    </row>
    <row r="7" spans="1:11">
      <c r="A7" s="19" t="s">
        <v>326</v>
      </c>
      <c r="B7">
        <v>500000</v>
      </c>
      <c r="F7" s="20" t="s">
        <v>544</v>
      </c>
      <c r="G7">
        <v>9</v>
      </c>
      <c r="J7" s="20" t="s">
        <v>197</v>
      </c>
    </row>
    <row r="8" spans="1:11">
      <c r="A8" s="19" t="s">
        <v>295</v>
      </c>
      <c r="B8">
        <v>500000</v>
      </c>
      <c r="F8" s="20" t="s">
        <v>549</v>
      </c>
      <c r="G8">
        <v>1</v>
      </c>
      <c r="J8" s="20" t="s">
        <v>210</v>
      </c>
      <c r="K8">
        <v>20000</v>
      </c>
    </row>
    <row r="9" spans="1:11">
      <c r="A9" s="19" t="s">
        <v>152</v>
      </c>
      <c r="B9">
        <v>275000</v>
      </c>
      <c r="F9" s="20" t="s">
        <v>551</v>
      </c>
      <c r="J9" s="20" t="s">
        <v>202</v>
      </c>
    </row>
    <row r="10" spans="1:11">
      <c r="A10" s="19" t="s">
        <v>55</v>
      </c>
      <c r="B10">
        <v>2070000</v>
      </c>
      <c r="F10" s="19" t="s">
        <v>36</v>
      </c>
      <c r="G10">
        <v>5</v>
      </c>
      <c r="J10" s="20" t="s">
        <v>212</v>
      </c>
      <c r="K10">
        <v>20000</v>
      </c>
    </row>
    <row r="11" spans="1:11">
      <c r="A11" s="19" t="s">
        <v>111</v>
      </c>
      <c r="B11">
        <v>295000</v>
      </c>
      <c r="F11" s="20" t="s">
        <v>44</v>
      </c>
      <c r="J11" s="20" t="s">
        <v>192</v>
      </c>
      <c r="K11">
        <v>20000</v>
      </c>
    </row>
    <row r="12" spans="1:11">
      <c r="A12" s="19" t="s">
        <v>50</v>
      </c>
      <c r="B12">
        <v>715000</v>
      </c>
      <c r="F12" s="20" t="s">
        <v>544</v>
      </c>
      <c r="G12">
        <v>3</v>
      </c>
      <c r="J12" s="20" t="s">
        <v>215</v>
      </c>
      <c r="K12">
        <v>20000</v>
      </c>
    </row>
    <row r="13" spans="1:11">
      <c r="A13" s="19" t="s">
        <v>60</v>
      </c>
      <c r="B13">
        <v>410000</v>
      </c>
      <c r="F13" s="20" t="s">
        <v>549</v>
      </c>
      <c r="G13">
        <v>1</v>
      </c>
      <c r="J13" s="20" t="s">
        <v>217</v>
      </c>
      <c r="K13">
        <v>20000</v>
      </c>
    </row>
    <row r="14" spans="1:11">
      <c r="A14" s="19" t="s">
        <v>71</v>
      </c>
      <c r="B14">
        <v>960000</v>
      </c>
      <c r="F14" s="20" t="s">
        <v>551</v>
      </c>
      <c r="G14">
        <v>1</v>
      </c>
      <c r="J14" s="20" t="s">
        <v>267</v>
      </c>
      <c r="K14">
        <v>50000</v>
      </c>
    </row>
    <row r="15" spans="1:11">
      <c r="A15" s="19" t="s">
        <v>535</v>
      </c>
      <c r="B15">
        <v>6480000</v>
      </c>
      <c r="F15" s="19" t="s">
        <v>161</v>
      </c>
      <c r="G15">
        <v>11</v>
      </c>
      <c r="J15" s="20" t="s">
        <v>245</v>
      </c>
      <c r="K15">
        <v>20000</v>
      </c>
    </row>
    <row r="16" spans="1:11">
      <c r="F16" s="20" t="s">
        <v>44</v>
      </c>
      <c r="J16" s="20" t="s">
        <v>219</v>
      </c>
      <c r="K16">
        <v>20000</v>
      </c>
    </row>
    <row r="17" spans="6:11">
      <c r="F17" s="20" t="s">
        <v>543</v>
      </c>
      <c r="G17">
        <v>2</v>
      </c>
      <c r="J17" s="20" t="s">
        <v>221</v>
      </c>
      <c r="K17">
        <v>20000</v>
      </c>
    </row>
    <row r="18" spans="6:11">
      <c r="F18" s="20" t="s">
        <v>544</v>
      </c>
      <c r="G18">
        <v>7</v>
      </c>
      <c r="J18" s="19" t="s">
        <v>36</v>
      </c>
      <c r="K18">
        <v>135000</v>
      </c>
    </row>
    <row r="19" spans="6:11">
      <c r="F19" s="20" t="s">
        <v>549</v>
      </c>
      <c r="G19">
        <v>1</v>
      </c>
      <c r="J19" s="20" t="s">
        <v>361</v>
      </c>
      <c r="K19">
        <v>0</v>
      </c>
    </row>
    <row r="20" spans="6:11">
      <c r="F20" s="20" t="s">
        <v>551</v>
      </c>
      <c r="G20">
        <v>1</v>
      </c>
      <c r="J20" s="20" t="s">
        <v>146</v>
      </c>
      <c r="K20">
        <v>20000</v>
      </c>
    </row>
    <row r="21" spans="6:11">
      <c r="F21" s="19" t="s">
        <v>326</v>
      </c>
      <c r="G21">
        <v>1</v>
      </c>
      <c r="J21" s="20" t="s">
        <v>42</v>
      </c>
    </row>
    <row r="22" spans="6:11">
      <c r="F22" s="20" t="s">
        <v>44</v>
      </c>
      <c r="J22" s="20" t="s">
        <v>34</v>
      </c>
      <c r="K22">
        <v>75000</v>
      </c>
    </row>
    <row r="23" spans="6:11">
      <c r="F23" s="20" t="s">
        <v>555</v>
      </c>
      <c r="G23">
        <v>1</v>
      </c>
      <c r="J23" s="20" t="s">
        <v>90</v>
      </c>
      <c r="K23">
        <v>20000</v>
      </c>
    </row>
    <row r="24" spans="6:11">
      <c r="F24" s="19" t="s">
        <v>295</v>
      </c>
      <c r="G24">
        <v>25</v>
      </c>
      <c r="J24" s="20" t="s">
        <v>164</v>
      </c>
      <c r="K24">
        <v>20000</v>
      </c>
    </row>
    <row r="25" spans="6:11">
      <c r="F25" s="20" t="s">
        <v>544</v>
      </c>
      <c r="G25">
        <v>25</v>
      </c>
      <c r="J25" s="20" t="s">
        <v>130</v>
      </c>
    </row>
    <row r="26" spans="6:11">
      <c r="F26" s="19" t="s">
        <v>152</v>
      </c>
      <c r="G26">
        <v>8</v>
      </c>
      <c r="J26" s="19" t="s">
        <v>161</v>
      </c>
      <c r="K26">
        <v>315000</v>
      </c>
    </row>
    <row r="27" spans="6:11">
      <c r="F27" s="20" t="s">
        <v>543</v>
      </c>
      <c r="G27">
        <v>2</v>
      </c>
      <c r="J27" s="20" t="s">
        <v>394</v>
      </c>
      <c r="K27">
        <v>0</v>
      </c>
    </row>
    <row r="28" spans="6:11">
      <c r="F28" s="20" t="s">
        <v>544</v>
      </c>
      <c r="G28">
        <v>5</v>
      </c>
      <c r="J28" s="20" t="s">
        <v>263</v>
      </c>
      <c r="K28">
        <v>20000</v>
      </c>
    </row>
    <row r="29" spans="6:11">
      <c r="F29" s="20" t="s">
        <v>549</v>
      </c>
      <c r="G29">
        <v>1</v>
      </c>
      <c r="J29" s="20" t="s">
        <v>433</v>
      </c>
      <c r="K29">
        <v>20000</v>
      </c>
    </row>
    <row r="30" spans="6:11">
      <c r="F30" s="19" t="s">
        <v>55</v>
      </c>
      <c r="G30">
        <v>16</v>
      </c>
      <c r="J30" s="20" t="s">
        <v>495</v>
      </c>
      <c r="K30">
        <v>20000</v>
      </c>
    </row>
    <row r="31" spans="6:11">
      <c r="F31" s="20" t="s">
        <v>556</v>
      </c>
      <c r="G31">
        <v>2</v>
      </c>
      <c r="J31" s="20" t="s">
        <v>343</v>
      </c>
      <c r="K31">
        <v>20000</v>
      </c>
    </row>
    <row r="32" spans="6:11">
      <c r="F32" s="20" t="s">
        <v>44</v>
      </c>
      <c r="G32">
        <v>2</v>
      </c>
      <c r="J32" s="20" t="s">
        <v>490</v>
      </c>
      <c r="K32">
        <v>20000</v>
      </c>
    </row>
    <row r="33" spans="6:11">
      <c r="F33" s="20" t="s">
        <v>543</v>
      </c>
      <c r="G33">
        <v>2</v>
      </c>
      <c r="J33" s="20" t="s">
        <v>369</v>
      </c>
      <c r="K33">
        <v>50000</v>
      </c>
    </row>
    <row r="34" spans="6:11">
      <c r="F34" s="20" t="s">
        <v>544</v>
      </c>
      <c r="G34">
        <v>6</v>
      </c>
      <c r="J34" s="20" t="s">
        <v>186</v>
      </c>
      <c r="K34">
        <v>50000</v>
      </c>
    </row>
    <row r="35" spans="6:11">
      <c r="F35" s="20" t="s">
        <v>549</v>
      </c>
      <c r="G35">
        <v>2</v>
      </c>
      <c r="J35" s="20" t="s">
        <v>158</v>
      </c>
    </row>
    <row r="36" spans="6:11">
      <c r="F36" s="20" t="s">
        <v>557</v>
      </c>
      <c r="G36">
        <v>2</v>
      </c>
      <c r="J36" s="20" t="s">
        <v>390</v>
      </c>
      <c r="K36">
        <v>20000</v>
      </c>
    </row>
    <row r="37" spans="6:11">
      <c r="F37" s="19" t="s">
        <v>111</v>
      </c>
      <c r="G37">
        <v>5</v>
      </c>
      <c r="J37" s="20" t="s">
        <v>428</v>
      </c>
      <c r="K37">
        <v>20000</v>
      </c>
    </row>
    <row r="38" spans="6:11">
      <c r="F38" s="20" t="s">
        <v>44</v>
      </c>
      <c r="J38" s="20" t="s">
        <v>250</v>
      </c>
      <c r="K38">
        <v>75000</v>
      </c>
    </row>
    <row r="39" spans="6:11">
      <c r="F39" s="20" t="s">
        <v>543</v>
      </c>
      <c r="G39">
        <v>1</v>
      </c>
      <c r="J39" s="19" t="s">
        <v>326</v>
      </c>
      <c r="K39">
        <v>500000</v>
      </c>
    </row>
    <row r="40" spans="6:11">
      <c r="F40" s="20" t="s">
        <v>544</v>
      </c>
      <c r="G40">
        <v>1</v>
      </c>
      <c r="J40" s="20" t="s">
        <v>325</v>
      </c>
    </row>
    <row r="41" spans="6:11">
      <c r="F41" s="20" t="s">
        <v>549</v>
      </c>
      <c r="G41">
        <v>3</v>
      </c>
      <c r="J41" s="20" t="s">
        <v>497</v>
      </c>
      <c r="K41">
        <v>500000</v>
      </c>
    </row>
    <row r="42" spans="6:11">
      <c r="F42" s="20" t="s">
        <v>551</v>
      </c>
      <c r="J42" s="19" t="s">
        <v>295</v>
      </c>
      <c r="K42">
        <v>500000</v>
      </c>
    </row>
    <row r="43" spans="6:11">
      <c r="F43" s="19" t="s">
        <v>50</v>
      </c>
      <c r="G43">
        <v>30</v>
      </c>
      <c r="J43" s="20">
        <v>0</v>
      </c>
      <c r="K43">
        <v>20000</v>
      </c>
    </row>
    <row r="44" spans="6:11">
      <c r="F44" s="20" t="s">
        <v>44</v>
      </c>
      <c r="G44">
        <v>8</v>
      </c>
      <c r="J44" s="20" t="s">
        <v>293</v>
      </c>
      <c r="K44">
        <v>20000</v>
      </c>
    </row>
    <row r="45" spans="6:11">
      <c r="F45" s="20" t="s">
        <v>543</v>
      </c>
      <c r="G45">
        <v>1</v>
      </c>
      <c r="J45" s="20" t="s">
        <v>297</v>
      </c>
      <c r="K45">
        <v>20000</v>
      </c>
    </row>
    <row r="46" spans="6:11">
      <c r="F46" s="20" t="s">
        <v>544</v>
      </c>
      <c r="G46">
        <v>17</v>
      </c>
      <c r="J46" s="20" t="s">
        <v>298</v>
      </c>
      <c r="K46">
        <v>20000</v>
      </c>
    </row>
    <row r="47" spans="6:11">
      <c r="F47" s="20" t="s">
        <v>555</v>
      </c>
      <c r="G47">
        <v>1</v>
      </c>
      <c r="J47" s="20" t="s">
        <v>300</v>
      </c>
      <c r="K47">
        <v>20000</v>
      </c>
    </row>
    <row r="48" spans="6:11">
      <c r="F48" s="20" t="s">
        <v>549</v>
      </c>
      <c r="G48">
        <v>1</v>
      </c>
      <c r="J48" s="20" t="s">
        <v>301</v>
      </c>
      <c r="K48">
        <v>20000</v>
      </c>
    </row>
    <row r="49" spans="6:11">
      <c r="F49" s="20" t="s">
        <v>551</v>
      </c>
      <c r="G49">
        <v>2</v>
      </c>
      <c r="J49" s="20" t="s">
        <v>302</v>
      </c>
      <c r="K49">
        <v>20000</v>
      </c>
    </row>
    <row r="50" spans="6:11">
      <c r="F50" s="19" t="s">
        <v>60</v>
      </c>
      <c r="G50">
        <v>19</v>
      </c>
      <c r="J50" s="20" t="s">
        <v>303</v>
      </c>
      <c r="K50">
        <v>20000</v>
      </c>
    </row>
    <row r="51" spans="6:11">
      <c r="F51" s="20" t="s">
        <v>543</v>
      </c>
      <c r="G51">
        <v>1</v>
      </c>
      <c r="J51" s="20" t="s">
        <v>304</v>
      </c>
      <c r="K51">
        <v>20000</v>
      </c>
    </row>
    <row r="52" spans="6:11">
      <c r="F52" s="20" t="s">
        <v>544</v>
      </c>
      <c r="G52">
        <v>18</v>
      </c>
      <c r="J52" s="20" t="s">
        <v>305</v>
      </c>
      <c r="K52">
        <v>20000</v>
      </c>
    </row>
    <row r="53" spans="6:11">
      <c r="F53" s="19" t="s">
        <v>71</v>
      </c>
      <c r="G53">
        <v>28</v>
      </c>
      <c r="J53" s="20" t="s">
        <v>306</v>
      </c>
      <c r="K53">
        <v>20000</v>
      </c>
    </row>
    <row r="54" spans="6:11">
      <c r="F54" s="20" t="s">
        <v>44</v>
      </c>
      <c r="J54" s="20" t="s">
        <v>307</v>
      </c>
      <c r="K54">
        <v>20000</v>
      </c>
    </row>
    <row r="55" spans="6:11">
      <c r="F55" s="20" t="s">
        <v>543</v>
      </c>
      <c r="G55">
        <v>6</v>
      </c>
      <c r="J55" s="20" t="s">
        <v>308</v>
      </c>
      <c r="K55">
        <v>20000</v>
      </c>
    </row>
    <row r="56" spans="6:11">
      <c r="F56" s="20" t="s">
        <v>544</v>
      </c>
      <c r="G56">
        <v>18</v>
      </c>
      <c r="J56" s="20" t="s">
        <v>309</v>
      </c>
      <c r="K56">
        <v>20000</v>
      </c>
    </row>
    <row r="57" spans="6:11">
      <c r="F57" s="20" t="s">
        <v>549</v>
      </c>
      <c r="G57">
        <v>4</v>
      </c>
      <c r="J57" s="20" t="s">
        <v>310</v>
      </c>
      <c r="K57">
        <v>20000</v>
      </c>
    </row>
    <row r="58" spans="6:11">
      <c r="F58" s="19" t="s">
        <v>535</v>
      </c>
      <c r="G58">
        <v>159</v>
      </c>
      <c r="J58" s="20" t="s">
        <v>311</v>
      </c>
      <c r="K58">
        <v>20000</v>
      </c>
    </row>
    <row r="59" spans="6:11">
      <c r="J59" s="20" t="s">
        <v>312</v>
      </c>
      <c r="K59">
        <v>20000</v>
      </c>
    </row>
    <row r="60" spans="6:11">
      <c r="J60" s="20" t="s">
        <v>313</v>
      </c>
      <c r="K60">
        <v>20000</v>
      </c>
    </row>
    <row r="61" spans="6:11">
      <c r="J61" s="20" t="s">
        <v>314</v>
      </c>
      <c r="K61">
        <v>20000</v>
      </c>
    </row>
    <row r="62" spans="6:11">
      <c r="J62" s="20" t="s">
        <v>316</v>
      </c>
      <c r="K62">
        <v>20000</v>
      </c>
    </row>
    <row r="63" spans="6:11">
      <c r="J63" s="20" t="s">
        <v>317</v>
      </c>
      <c r="K63">
        <v>20000</v>
      </c>
    </row>
    <row r="64" spans="6:11">
      <c r="J64" s="20" t="s">
        <v>318</v>
      </c>
      <c r="K64">
        <v>20000</v>
      </c>
    </row>
    <row r="65" spans="10:11">
      <c r="J65" s="20" t="s">
        <v>319</v>
      </c>
      <c r="K65">
        <v>20000</v>
      </c>
    </row>
    <row r="66" spans="10:11">
      <c r="J66" s="20" t="s">
        <v>320</v>
      </c>
      <c r="K66">
        <v>20000</v>
      </c>
    </row>
    <row r="67" spans="10:11">
      <c r="J67" s="20" t="s">
        <v>321</v>
      </c>
      <c r="K67">
        <v>20000</v>
      </c>
    </row>
    <row r="68" spans="10:11">
      <c r="J68" s="19" t="s">
        <v>152</v>
      </c>
      <c r="K68">
        <v>275000</v>
      </c>
    </row>
    <row r="69" spans="10:11">
      <c r="J69" s="20" t="s">
        <v>150</v>
      </c>
      <c r="K69">
        <v>50000</v>
      </c>
    </row>
    <row r="70" spans="10:11">
      <c r="J70" s="20" t="s">
        <v>486</v>
      </c>
      <c r="K70">
        <v>20000</v>
      </c>
    </row>
    <row r="71" spans="10:11">
      <c r="J71" s="20" t="s">
        <v>179</v>
      </c>
      <c r="K71">
        <v>50000</v>
      </c>
    </row>
    <row r="72" spans="10:11">
      <c r="J72" s="20" t="s">
        <v>175</v>
      </c>
      <c r="K72">
        <v>20000</v>
      </c>
    </row>
    <row r="73" spans="10:11">
      <c r="J73" s="20" t="s">
        <v>451</v>
      </c>
      <c r="K73">
        <v>20000</v>
      </c>
    </row>
    <row r="74" spans="10:11">
      <c r="J74" s="20" t="s">
        <v>415</v>
      </c>
      <c r="K74">
        <v>75000</v>
      </c>
    </row>
    <row r="75" spans="10:11">
      <c r="J75" s="20" t="s">
        <v>374</v>
      </c>
      <c r="K75">
        <v>20000</v>
      </c>
    </row>
    <row r="76" spans="10:11">
      <c r="J76" s="20" t="s">
        <v>183</v>
      </c>
      <c r="K76">
        <v>20000</v>
      </c>
    </row>
    <row r="77" spans="10:11">
      <c r="J77" s="19" t="s">
        <v>55</v>
      </c>
      <c r="K77">
        <v>2070000</v>
      </c>
    </row>
    <row r="78" spans="10:11">
      <c r="J78" s="20" t="s">
        <v>283</v>
      </c>
      <c r="K78">
        <v>0</v>
      </c>
    </row>
    <row r="79" spans="10:11">
      <c r="J79" s="20" t="s">
        <v>58</v>
      </c>
    </row>
    <row r="80" spans="10:11">
      <c r="J80" s="20" t="s">
        <v>75</v>
      </c>
    </row>
    <row r="81" spans="10:11">
      <c r="J81" s="20" t="s">
        <v>88</v>
      </c>
      <c r="K81">
        <v>50000</v>
      </c>
    </row>
    <row r="82" spans="10:11">
      <c r="J82" s="20" t="s">
        <v>113</v>
      </c>
      <c r="K82">
        <v>20000</v>
      </c>
    </row>
    <row r="83" spans="10:11">
      <c r="J83" s="20" t="s">
        <v>53</v>
      </c>
      <c r="K83">
        <v>20000</v>
      </c>
    </row>
    <row r="84" spans="10:11">
      <c r="J84" s="20" t="s">
        <v>142</v>
      </c>
      <c r="K84">
        <v>100000</v>
      </c>
    </row>
    <row r="85" spans="10:11">
      <c r="J85" s="20" t="s">
        <v>140</v>
      </c>
      <c r="K85">
        <v>20000</v>
      </c>
    </row>
    <row r="86" spans="10:11">
      <c r="J86" s="20" t="s">
        <v>157</v>
      </c>
      <c r="K86">
        <v>20000</v>
      </c>
    </row>
    <row r="87" spans="10:11">
      <c r="J87" s="20" t="s">
        <v>277</v>
      </c>
      <c r="K87">
        <v>20000</v>
      </c>
    </row>
    <row r="88" spans="10:11">
      <c r="J88" s="20" t="s">
        <v>522</v>
      </c>
      <c r="K88">
        <v>20000</v>
      </c>
    </row>
    <row r="89" spans="10:11">
      <c r="J89" s="20" t="s">
        <v>136</v>
      </c>
      <c r="K89">
        <v>75000</v>
      </c>
    </row>
    <row r="90" spans="10:11">
      <c r="J90" s="20" t="s">
        <v>404</v>
      </c>
      <c r="K90">
        <v>100000</v>
      </c>
    </row>
    <row r="91" spans="10:11">
      <c r="J91" s="20" t="s">
        <v>514</v>
      </c>
      <c r="K91">
        <v>75000</v>
      </c>
    </row>
    <row r="92" spans="10:11">
      <c r="J92" s="20" t="s">
        <v>438</v>
      </c>
      <c r="K92">
        <v>750000</v>
      </c>
    </row>
    <row r="93" spans="10:11">
      <c r="J93" s="20" t="s">
        <v>521</v>
      </c>
      <c r="K93">
        <v>0</v>
      </c>
    </row>
    <row r="94" spans="10:11">
      <c r="J94" s="20" t="s">
        <v>333</v>
      </c>
    </row>
    <row r="95" spans="10:11">
      <c r="J95" s="20" t="s">
        <v>502</v>
      </c>
    </row>
    <row r="96" spans="10:11">
      <c r="J96" s="20" t="s">
        <v>504</v>
      </c>
      <c r="K96">
        <v>750000</v>
      </c>
    </row>
    <row r="97" spans="10:11">
      <c r="J97" s="20" t="s">
        <v>124</v>
      </c>
      <c r="K97">
        <v>50000</v>
      </c>
    </row>
    <row r="98" spans="10:11">
      <c r="J98" s="20" t="s">
        <v>517</v>
      </c>
    </row>
    <row r="99" spans="10:11">
      <c r="J99" s="19" t="s">
        <v>111</v>
      </c>
      <c r="K99">
        <v>295000</v>
      </c>
    </row>
    <row r="100" spans="10:11">
      <c r="J100" s="20" t="s">
        <v>458</v>
      </c>
      <c r="K100">
        <v>75000</v>
      </c>
    </row>
    <row r="101" spans="10:11">
      <c r="J101" s="20" t="s">
        <v>110</v>
      </c>
    </row>
    <row r="102" spans="10:11">
      <c r="J102" s="20" t="s">
        <v>279</v>
      </c>
      <c r="K102">
        <v>20000</v>
      </c>
    </row>
    <row r="103" spans="10:11">
      <c r="J103" s="20" t="s">
        <v>351</v>
      </c>
      <c r="K103">
        <v>50000</v>
      </c>
    </row>
    <row r="104" spans="10:11">
      <c r="J104" s="20" t="s">
        <v>460</v>
      </c>
    </row>
    <row r="105" spans="10:11">
      <c r="J105" s="20" t="s">
        <v>399</v>
      </c>
      <c r="K105">
        <v>75000</v>
      </c>
    </row>
    <row r="106" spans="10:11">
      <c r="J106" s="20" t="s">
        <v>449</v>
      </c>
      <c r="K106">
        <v>75000</v>
      </c>
    </row>
    <row r="107" spans="10:11">
      <c r="J107" s="19" t="s">
        <v>50</v>
      </c>
      <c r="K107">
        <v>715000</v>
      </c>
    </row>
    <row r="108" spans="10:11">
      <c r="J108" s="20" t="s">
        <v>48</v>
      </c>
      <c r="K108">
        <v>20000</v>
      </c>
    </row>
    <row r="109" spans="10:11">
      <c r="J109" s="20" t="s">
        <v>96</v>
      </c>
      <c r="K109">
        <v>20000</v>
      </c>
    </row>
    <row r="110" spans="10:11">
      <c r="J110" s="20" t="s">
        <v>116</v>
      </c>
      <c r="K110">
        <v>20000</v>
      </c>
    </row>
    <row r="111" spans="10:11">
      <c r="J111" s="20" t="s">
        <v>168</v>
      </c>
      <c r="K111">
        <v>20000</v>
      </c>
    </row>
    <row r="112" spans="10:11">
      <c r="J112" s="20" t="s">
        <v>191</v>
      </c>
      <c r="K112">
        <v>20000</v>
      </c>
    </row>
    <row r="113" spans="10:11">
      <c r="J113" s="20" t="s">
        <v>195</v>
      </c>
      <c r="K113">
        <v>20000</v>
      </c>
    </row>
    <row r="114" spans="10:11">
      <c r="J114" s="20" t="s">
        <v>255</v>
      </c>
      <c r="K114">
        <v>20000</v>
      </c>
    </row>
    <row r="115" spans="10:11">
      <c r="J115" s="20" t="s">
        <v>271</v>
      </c>
      <c r="K115">
        <v>75000</v>
      </c>
    </row>
    <row r="116" spans="10:11">
      <c r="J116" s="20" t="s">
        <v>281</v>
      </c>
      <c r="K116">
        <v>0</v>
      </c>
    </row>
    <row r="117" spans="10:11">
      <c r="J117" s="20" t="s">
        <v>558</v>
      </c>
      <c r="K117">
        <v>20000</v>
      </c>
    </row>
    <row r="118" spans="10:11">
      <c r="J118" s="20" t="s">
        <v>366</v>
      </c>
      <c r="K118">
        <v>0</v>
      </c>
    </row>
    <row r="119" spans="10:11">
      <c r="J119" s="20" t="s">
        <v>378</v>
      </c>
      <c r="K119">
        <v>0</v>
      </c>
    </row>
    <row r="120" spans="10:11">
      <c r="J120" s="20" t="s">
        <v>383</v>
      </c>
      <c r="K120">
        <v>20000</v>
      </c>
    </row>
    <row r="121" spans="10:11">
      <c r="J121" s="20" t="s">
        <v>385</v>
      </c>
      <c r="K121">
        <v>20000</v>
      </c>
    </row>
    <row r="122" spans="10:11">
      <c r="J122" s="20" t="s">
        <v>420</v>
      </c>
      <c r="K122">
        <v>0</v>
      </c>
    </row>
    <row r="123" spans="10:11">
      <c r="J123" s="20" t="s">
        <v>444</v>
      </c>
      <c r="K123">
        <v>20000</v>
      </c>
    </row>
    <row r="124" spans="10:11">
      <c r="J124" s="20" t="s">
        <v>446</v>
      </c>
      <c r="K124">
        <v>20000</v>
      </c>
    </row>
    <row r="125" spans="10:11">
      <c r="J125" s="20" t="s">
        <v>456</v>
      </c>
      <c r="K125">
        <v>0</v>
      </c>
    </row>
    <row r="126" spans="10:11">
      <c r="J126" s="20" t="s">
        <v>457</v>
      </c>
      <c r="K126">
        <v>50000</v>
      </c>
    </row>
    <row r="127" spans="10:11">
      <c r="J127" s="20" t="s">
        <v>380</v>
      </c>
      <c r="K127">
        <v>0</v>
      </c>
    </row>
    <row r="128" spans="10:11">
      <c r="J128" s="20" t="s">
        <v>336</v>
      </c>
      <c r="K128">
        <v>0</v>
      </c>
    </row>
    <row r="129" spans="10:11">
      <c r="J129" s="20" t="s">
        <v>466</v>
      </c>
      <c r="K129">
        <v>250000</v>
      </c>
    </row>
    <row r="130" spans="10:11">
      <c r="J130" s="20" t="s">
        <v>340</v>
      </c>
      <c r="K130">
        <v>60000</v>
      </c>
    </row>
    <row r="131" spans="10:11">
      <c r="J131" s="20" t="s">
        <v>501</v>
      </c>
      <c r="K131">
        <v>20000</v>
      </c>
    </row>
    <row r="132" spans="10:11">
      <c r="J132" s="20" t="s">
        <v>519</v>
      </c>
      <c r="K132">
        <v>20000</v>
      </c>
    </row>
    <row r="133" spans="10:11">
      <c r="J133" s="19" t="s">
        <v>60</v>
      </c>
      <c r="K133">
        <v>410000</v>
      </c>
    </row>
    <row r="134" spans="10:11">
      <c r="J134" s="20" t="s">
        <v>222</v>
      </c>
      <c r="K134">
        <v>20000</v>
      </c>
    </row>
    <row r="135" spans="10:11">
      <c r="J135" s="20" t="s">
        <v>57</v>
      </c>
      <c r="K135">
        <v>50000</v>
      </c>
    </row>
    <row r="136" spans="10:11">
      <c r="J136" s="20" t="s">
        <v>229</v>
      </c>
      <c r="K136">
        <v>20000</v>
      </c>
    </row>
    <row r="137" spans="10:11">
      <c r="J137" s="20" t="s">
        <v>230</v>
      </c>
      <c r="K137">
        <v>20000</v>
      </c>
    </row>
    <row r="138" spans="10:11">
      <c r="J138" s="20" t="s">
        <v>231</v>
      </c>
      <c r="K138">
        <v>20000</v>
      </c>
    </row>
    <row r="139" spans="10:11">
      <c r="J139" s="20" t="s">
        <v>232</v>
      </c>
      <c r="K139">
        <v>20000</v>
      </c>
    </row>
    <row r="140" spans="10:11">
      <c r="J140" s="20" t="s">
        <v>233</v>
      </c>
      <c r="K140">
        <v>20000</v>
      </c>
    </row>
    <row r="141" spans="10:11">
      <c r="J141" s="20" t="s">
        <v>234</v>
      </c>
      <c r="K141">
        <v>20000</v>
      </c>
    </row>
    <row r="142" spans="10:11">
      <c r="J142" s="20" t="s">
        <v>235</v>
      </c>
      <c r="K142">
        <v>20000</v>
      </c>
    </row>
    <row r="143" spans="10:11">
      <c r="J143" s="20" t="s">
        <v>236</v>
      </c>
      <c r="K143">
        <v>20000</v>
      </c>
    </row>
    <row r="144" spans="10:11">
      <c r="J144" s="20" t="s">
        <v>237</v>
      </c>
      <c r="K144">
        <v>20000</v>
      </c>
    </row>
    <row r="145" spans="10:11">
      <c r="J145" s="20" t="s">
        <v>238</v>
      </c>
      <c r="K145">
        <v>20000</v>
      </c>
    </row>
    <row r="146" spans="10:11">
      <c r="J146" s="20" t="s">
        <v>239</v>
      </c>
      <c r="K146">
        <v>20000</v>
      </c>
    </row>
    <row r="147" spans="10:11">
      <c r="J147" s="20" t="s">
        <v>353</v>
      </c>
      <c r="K147">
        <v>20000</v>
      </c>
    </row>
    <row r="148" spans="10:11">
      <c r="J148" s="20" t="s">
        <v>240</v>
      </c>
      <c r="K148">
        <v>20000</v>
      </c>
    </row>
    <row r="149" spans="10:11">
      <c r="J149" s="20" t="s">
        <v>241</v>
      </c>
      <c r="K149">
        <v>20000</v>
      </c>
    </row>
    <row r="150" spans="10:11">
      <c r="J150" s="20" t="s">
        <v>242</v>
      </c>
      <c r="K150">
        <v>20000</v>
      </c>
    </row>
    <row r="151" spans="10:11">
      <c r="J151" s="20" t="s">
        <v>472</v>
      </c>
      <c r="K151">
        <v>20000</v>
      </c>
    </row>
    <row r="152" spans="10:11">
      <c r="J152" s="20" t="s">
        <v>422</v>
      </c>
      <c r="K152">
        <v>20000</v>
      </c>
    </row>
    <row r="153" spans="10:11">
      <c r="J153" s="19" t="s">
        <v>71</v>
      </c>
      <c r="K153">
        <v>960000</v>
      </c>
    </row>
    <row r="154" spans="10:11">
      <c r="J154" s="20" t="s">
        <v>85</v>
      </c>
      <c r="K154">
        <v>20000</v>
      </c>
    </row>
    <row r="155" spans="10:11">
      <c r="J155" s="20" t="s">
        <v>68</v>
      </c>
      <c r="K155">
        <v>75000</v>
      </c>
    </row>
    <row r="156" spans="10:11">
      <c r="J156" s="20" t="s">
        <v>98</v>
      </c>
      <c r="K156">
        <v>190000</v>
      </c>
    </row>
    <row r="157" spans="10:11">
      <c r="J157" s="20" t="s">
        <v>286</v>
      </c>
      <c r="K157">
        <v>20000</v>
      </c>
    </row>
    <row r="158" spans="10:11">
      <c r="J158" s="20" t="s">
        <v>171</v>
      </c>
    </row>
    <row r="159" spans="10:11">
      <c r="J159" s="20" t="s">
        <v>127</v>
      </c>
      <c r="K159">
        <v>20000</v>
      </c>
    </row>
    <row r="160" spans="10:11">
      <c r="J160" s="20" t="s">
        <v>260</v>
      </c>
      <c r="K160">
        <v>50000</v>
      </c>
    </row>
    <row r="161" spans="10:11">
      <c r="J161" s="20" t="s">
        <v>80</v>
      </c>
      <c r="K161">
        <v>75000</v>
      </c>
    </row>
    <row r="162" spans="10:11">
      <c r="J162" s="20" t="s">
        <v>273</v>
      </c>
      <c r="K162">
        <v>20000</v>
      </c>
    </row>
    <row r="163" spans="10:11">
      <c r="J163" s="20" t="s">
        <v>289</v>
      </c>
      <c r="K163">
        <v>20000</v>
      </c>
    </row>
    <row r="164" spans="10:11">
      <c r="J164" s="20" t="s">
        <v>329</v>
      </c>
    </row>
    <row r="165" spans="10:11">
      <c r="J165" s="20" t="s">
        <v>257</v>
      </c>
      <c r="K165">
        <v>95000</v>
      </c>
    </row>
    <row r="166" spans="10:11">
      <c r="J166" s="20" t="s">
        <v>479</v>
      </c>
      <c r="K166">
        <v>50000</v>
      </c>
    </row>
    <row r="167" spans="10:11">
      <c r="J167" s="20" t="s">
        <v>322</v>
      </c>
    </row>
    <row r="168" spans="10:11">
      <c r="J168" s="20" t="s">
        <v>512</v>
      </c>
      <c r="K168">
        <v>20000</v>
      </c>
    </row>
    <row r="169" spans="10:11">
      <c r="J169" s="20" t="s">
        <v>358</v>
      </c>
      <c r="K169">
        <v>140000</v>
      </c>
    </row>
    <row r="170" spans="10:11">
      <c r="J170" s="20" t="s">
        <v>136</v>
      </c>
      <c r="K170">
        <v>50000</v>
      </c>
    </row>
    <row r="171" spans="10:11">
      <c r="J171" s="20" t="s">
        <v>412</v>
      </c>
      <c r="K171">
        <v>75000</v>
      </c>
    </row>
    <row r="172" spans="10:11">
      <c r="J172" s="20" t="s">
        <v>482</v>
      </c>
      <c r="K172">
        <v>20000</v>
      </c>
    </row>
    <row r="173" spans="10:11">
      <c r="J173" s="20" t="s">
        <v>440</v>
      </c>
      <c r="K173">
        <v>20000</v>
      </c>
    </row>
    <row r="174" spans="10:11">
      <c r="J174" s="20" t="s">
        <v>348</v>
      </c>
    </row>
    <row r="175" spans="10:11">
      <c r="J175" s="19" t="s">
        <v>535</v>
      </c>
      <c r="K175">
        <v>6480000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8414-4EE2-4477-BF6F-F785DB9ED609}">
  <dimension ref="A1:E7"/>
  <sheetViews>
    <sheetView workbookViewId="0">
      <selection activeCell="B6" sqref="B6"/>
    </sheetView>
  </sheetViews>
  <sheetFormatPr defaultRowHeight="15"/>
  <cols>
    <col min="1" max="1" width="17" bestFit="1" customWidth="1"/>
    <col min="2" max="2" width="17.28515625" customWidth="1"/>
  </cols>
  <sheetData>
    <row r="1" spans="1:5" ht="60">
      <c r="A1" s="7" t="s">
        <v>0</v>
      </c>
      <c r="B1" s="7" t="s">
        <v>1</v>
      </c>
      <c r="C1" s="7" t="s">
        <v>31</v>
      </c>
      <c r="D1" s="7" t="s">
        <v>32</v>
      </c>
      <c r="E1" s="15" t="s">
        <v>33</v>
      </c>
    </row>
    <row r="2" spans="1:5">
      <c r="A2" s="4" t="s">
        <v>191</v>
      </c>
      <c r="B2" s="4" t="s">
        <v>191</v>
      </c>
      <c r="C2" s="16" t="s">
        <v>39</v>
      </c>
      <c r="D2" s="16"/>
      <c r="E2" s="17">
        <v>10000</v>
      </c>
    </row>
    <row r="3" spans="1:5">
      <c r="A3" s="4" t="s">
        <v>271</v>
      </c>
      <c r="B3" s="4" t="s">
        <v>271</v>
      </c>
      <c r="C3" s="16" t="s">
        <v>39</v>
      </c>
      <c r="D3" s="16" t="s">
        <v>62</v>
      </c>
      <c r="E3" s="17">
        <v>75000</v>
      </c>
    </row>
    <row r="4" spans="1:5">
      <c r="A4" s="4" t="s">
        <v>457</v>
      </c>
      <c r="B4" s="4" t="s">
        <v>457</v>
      </c>
      <c r="C4" s="16" t="s">
        <v>39</v>
      </c>
      <c r="D4" s="16"/>
      <c r="E4" s="17">
        <v>20000</v>
      </c>
    </row>
    <row r="5" spans="1:5">
      <c r="A5" s="4" t="s">
        <v>340</v>
      </c>
      <c r="B5" s="4" t="s">
        <v>465</v>
      </c>
      <c r="C5" s="16" t="s">
        <v>39</v>
      </c>
      <c r="D5" s="16" t="s">
        <v>39</v>
      </c>
      <c r="E5" s="17">
        <v>10000</v>
      </c>
    </row>
    <row r="6" spans="1:5">
      <c r="A6" s="4" t="s">
        <v>340</v>
      </c>
      <c r="B6" s="4" t="s">
        <v>341</v>
      </c>
      <c r="C6" s="16" t="s">
        <v>39</v>
      </c>
      <c r="D6" s="16" t="s">
        <v>39</v>
      </c>
      <c r="E6" s="17">
        <v>10000</v>
      </c>
    </row>
    <row r="7" spans="1:5">
      <c r="A7" s="4" t="s">
        <v>340</v>
      </c>
      <c r="B7" s="4" t="s">
        <v>367</v>
      </c>
      <c r="C7" s="16" t="s">
        <v>39</v>
      </c>
      <c r="D7" s="16" t="s">
        <v>39</v>
      </c>
      <c r="E7" s="17">
        <v>10000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A2909-032C-43BF-9739-19B7EF112134}">
  <sheetPr>
    <outlinePr summaryRight="0"/>
  </sheetPr>
  <dimension ref="A1:BQ228"/>
  <sheetViews>
    <sheetView zoomScale="86" zoomScaleNormal="86" workbookViewId="0">
      <pane ySplit="3" topLeftCell="A196" activePane="bottomLeft" state="frozen"/>
      <selection pane="bottomLeft" activeCell="H1" sqref="H1:O1048576"/>
    </sheetView>
  </sheetViews>
  <sheetFormatPr defaultColWidth="8.85546875" defaultRowHeight="15.75" customHeight="1" outlineLevelCol="1"/>
  <cols>
    <col min="1" max="1" width="24.28515625" customWidth="1"/>
    <col min="2" max="2" width="41.140625" customWidth="1"/>
    <col min="3" max="3" width="22.42578125" customWidth="1"/>
    <col min="4" max="4" width="17" customWidth="1"/>
    <col min="5" max="5" width="27.85546875" style="89" customWidth="1"/>
    <col min="6" max="6" width="13.28515625" style="89" customWidth="1"/>
    <col min="7" max="7" width="45.85546875" style="89" customWidth="1" outlineLevel="1"/>
    <col min="8" max="8" width="27.28515625" style="89" customWidth="1" outlineLevel="1"/>
    <col min="9" max="9" width="16.28515625" style="86" customWidth="1"/>
    <col min="10" max="11" width="16.28515625" style="86" customWidth="1" outlineLevel="1"/>
    <col min="12" max="12" width="14.28515625" style="87" customWidth="1" outlineLevel="1"/>
    <col min="13" max="13" width="2.7109375" style="87" customWidth="1" outlineLevel="1"/>
    <col min="14" max="16" width="13.7109375" style="87" customWidth="1" outlineLevel="1"/>
    <col min="17" max="18" width="16.7109375" style="87" customWidth="1" outlineLevel="1"/>
    <col min="19" max="19" width="16.28515625" style="87" customWidth="1" outlineLevel="1"/>
    <col min="20" max="21" width="13.7109375" style="87" customWidth="1" outlineLevel="1"/>
    <col min="22" max="22" width="91.5703125" style="86" customWidth="1" outlineLevel="1"/>
    <col min="23" max="23" width="35.7109375" style="86" customWidth="1" outlineLevel="1"/>
    <col min="24" max="24" width="14.28515625" style="88" customWidth="1" outlineLevel="1"/>
    <col min="25" max="27" width="14.28515625" style="87" customWidth="1" outlineLevel="1"/>
    <col min="28" max="28" width="28.28515625" style="87" customWidth="1" outlineLevel="1"/>
    <col min="29" max="29" width="24" style="90" customWidth="1"/>
    <col min="30" max="30" width="44.28515625" style="90" customWidth="1" outlineLevel="1"/>
    <col min="31" max="31" width="8.85546875" style="90" customWidth="1" outlineLevel="1"/>
    <col min="32" max="32" width="18.28515625" style="90" customWidth="1" outlineLevel="1"/>
    <col min="33" max="33" width="33.28515625" style="90" customWidth="1" outlineLevel="1"/>
    <col min="34" max="34" width="14.5703125" style="61" customWidth="1"/>
    <col min="35" max="35" width="17.85546875" style="61" customWidth="1" outlineLevel="1"/>
    <col min="36" max="36" width="15" style="64" customWidth="1" outlineLevel="1"/>
    <col min="37" max="38" width="35.7109375" style="64" customWidth="1" outlineLevel="1"/>
    <col min="39" max="39" width="39.7109375" style="64" customWidth="1" outlineLevel="1"/>
    <col min="40" max="40" width="32.28515625" style="64" customWidth="1" outlineLevel="1"/>
    <col min="41" max="41" width="40.28515625" style="64" customWidth="1" outlineLevel="1"/>
    <col min="42" max="42" width="33.140625" style="64" customWidth="1" outlineLevel="1"/>
    <col min="43" max="43" width="59.140625" style="64" customWidth="1" outlineLevel="1"/>
    <col min="44" max="44" width="12" customWidth="1"/>
    <col min="45" max="46" width="13.28515625" customWidth="1"/>
    <col min="47" max="47" width="15.7109375" customWidth="1"/>
    <col min="48" max="49" width="13.28515625" customWidth="1"/>
    <col min="50" max="50" width="10.7109375" customWidth="1"/>
    <col min="51" max="67" width="8.85546875" customWidth="1"/>
    <col min="69" max="69" width="32.5703125" style="3" customWidth="1"/>
  </cols>
  <sheetData>
    <row r="1" spans="1:69" s="5" customFormat="1" ht="57.4" customHeight="1" thickBot="1">
      <c r="A1" s="94" t="s">
        <v>0</v>
      </c>
      <c r="B1" s="94" t="s">
        <v>559</v>
      </c>
      <c r="C1" s="94" t="s">
        <v>23</v>
      </c>
      <c r="D1" s="94" t="s">
        <v>560</v>
      </c>
      <c r="E1" s="95" t="s">
        <v>561</v>
      </c>
      <c r="F1" s="95" t="s">
        <v>562</v>
      </c>
      <c r="G1" s="96" t="s">
        <v>24</v>
      </c>
      <c r="H1" s="96" t="s">
        <v>25</v>
      </c>
      <c r="I1" s="198" t="s">
        <v>563</v>
      </c>
      <c r="J1" s="198" t="s">
        <v>564</v>
      </c>
      <c r="K1" s="198" t="s">
        <v>565</v>
      </c>
      <c r="L1" s="198" t="s">
        <v>32</v>
      </c>
      <c r="M1" s="235" t="s">
        <v>566</v>
      </c>
      <c r="N1" s="232" t="s">
        <v>567</v>
      </c>
      <c r="O1" s="241" t="s">
        <v>568</v>
      </c>
      <c r="P1" s="241" t="s">
        <v>569</v>
      </c>
      <c r="Q1" s="241" t="s">
        <v>570</v>
      </c>
      <c r="R1" s="241" t="s">
        <v>571</v>
      </c>
      <c r="S1" s="241" t="s">
        <v>572</v>
      </c>
      <c r="T1" s="233" t="s">
        <v>573</v>
      </c>
      <c r="U1" s="234" t="s">
        <v>574</v>
      </c>
      <c r="V1" s="136" t="s">
        <v>575</v>
      </c>
      <c r="W1" s="136" t="s">
        <v>576</v>
      </c>
      <c r="X1" s="98" t="s">
        <v>577</v>
      </c>
      <c r="Y1" s="99" t="s">
        <v>578</v>
      </c>
      <c r="Z1" s="197" t="s">
        <v>579</v>
      </c>
      <c r="AA1" s="97" t="s">
        <v>580</v>
      </c>
      <c r="AB1" s="198" t="s">
        <v>26</v>
      </c>
      <c r="AC1" s="100" t="s">
        <v>581</v>
      </c>
      <c r="AD1" s="100" t="s">
        <v>582</v>
      </c>
      <c r="AE1" s="100" t="s">
        <v>583</v>
      </c>
      <c r="AF1" s="100" t="s">
        <v>584</v>
      </c>
      <c r="AG1" s="100" t="s">
        <v>585</v>
      </c>
      <c r="AH1" s="101" t="s">
        <v>586</v>
      </c>
      <c r="AI1" s="101" t="s">
        <v>587</v>
      </c>
      <c r="AJ1" s="101" t="s">
        <v>588</v>
      </c>
      <c r="AK1" s="101" t="s">
        <v>589</v>
      </c>
      <c r="AL1" s="101" t="s">
        <v>590</v>
      </c>
      <c r="AM1" s="101" t="s">
        <v>591</v>
      </c>
      <c r="AN1" s="101" t="s">
        <v>592</v>
      </c>
      <c r="AO1" s="101" t="s">
        <v>593</v>
      </c>
      <c r="AP1" s="101" t="s">
        <v>594</v>
      </c>
      <c r="AQ1" s="236"/>
      <c r="AR1" s="176" t="s">
        <v>0</v>
      </c>
      <c r="AS1" s="176" t="s">
        <v>559</v>
      </c>
      <c r="AT1" s="176" t="s">
        <v>595</v>
      </c>
      <c r="AU1" s="176" t="s">
        <v>596</v>
      </c>
      <c r="AV1" s="176" t="s">
        <v>597</v>
      </c>
      <c r="AW1" s="176" t="s">
        <v>598</v>
      </c>
      <c r="AX1" s="176" t="s">
        <v>599</v>
      </c>
      <c r="BQ1" s="246" t="s">
        <v>600</v>
      </c>
    </row>
    <row r="2" spans="1:69" ht="15.75" customHeight="1" thickBot="1">
      <c r="A2" s="102" t="s">
        <v>207</v>
      </c>
      <c r="B2" s="102" t="s">
        <v>601</v>
      </c>
      <c r="C2" s="102" t="s">
        <v>120</v>
      </c>
      <c r="D2" s="102"/>
      <c r="E2" s="103" t="s">
        <v>527</v>
      </c>
      <c r="F2" s="103"/>
      <c r="G2" s="103" t="s">
        <v>204</v>
      </c>
      <c r="H2" s="116" t="s">
        <v>209</v>
      </c>
      <c r="I2" s="91"/>
      <c r="J2" s="91"/>
      <c r="K2" s="91"/>
      <c r="L2" s="140" t="s">
        <v>78</v>
      </c>
      <c r="M2" s="104"/>
      <c r="N2" s="229" t="s">
        <v>602</v>
      </c>
      <c r="O2" s="242"/>
      <c r="P2" s="242"/>
      <c r="Q2" s="242"/>
      <c r="R2" s="242"/>
      <c r="S2" s="242"/>
      <c r="T2" s="230" t="s">
        <v>603</v>
      </c>
      <c r="U2" s="231" t="s">
        <v>604</v>
      </c>
      <c r="V2" s="220"/>
      <c r="W2" s="104"/>
      <c r="X2" s="104"/>
      <c r="Y2" s="104"/>
      <c r="Z2" s="104"/>
      <c r="AA2" s="104"/>
      <c r="AB2" s="104" t="s">
        <v>206</v>
      </c>
      <c r="AC2" s="108"/>
      <c r="AD2" s="109"/>
      <c r="AE2" s="109"/>
      <c r="AF2" s="109"/>
      <c r="AG2" s="109"/>
      <c r="AH2" s="117"/>
      <c r="AI2" s="117"/>
      <c r="AJ2" s="111"/>
      <c r="AK2" s="111"/>
      <c r="AL2" s="111"/>
      <c r="AM2" s="111"/>
      <c r="AN2" s="111"/>
      <c r="AO2" s="111"/>
      <c r="AP2" s="111"/>
      <c r="AQ2" t="str">
        <f>_xlfn.CONCAT(A2," ---  ",B2)</f>
        <v>Calpine Energy Solutions LLC ---  ECC Supplier Integration (Not Testing)</v>
      </c>
      <c r="AR2" s="177"/>
      <c r="AS2" s="177"/>
      <c r="AT2" s="178"/>
      <c r="AU2" s="178"/>
      <c r="AV2" s="177"/>
      <c r="AW2" s="177"/>
      <c r="AX2" s="177"/>
      <c r="BQ2"/>
    </row>
    <row r="3" spans="1:69" ht="15.75" customHeight="1" thickBot="1">
      <c r="A3" s="145" t="s">
        <v>210</v>
      </c>
      <c r="B3" s="145" t="s">
        <v>601</v>
      </c>
      <c r="C3" s="145" t="s">
        <v>120</v>
      </c>
      <c r="D3" s="145"/>
      <c r="E3" s="146" t="s">
        <v>527</v>
      </c>
      <c r="F3" s="146"/>
      <c r="G3" s="146" t="s">
        <v>204</v>
      </c>
      <c r="H3" s="116" t="s">
        <v>211</v>
      </c>
      <c r="I3" s="147"/>
      <c r="J3" s="147"/>
      <c r="K3" s="147"/>
      <c r="L3" s="212" t="s">
        <v>78</v>
      </c>
      <c r="M3" s="104"/>
      <c r="N3" s="220"/>
      <c r="O3" s="220"/>
      <c r="P3" s="220"/>
      <c r="Q3" s="220"/>
      <c r="R3" s="220"/>
      <c r="S3" s="220"/>
      <c r="T3" s="220"/>
      <c r="U3" s="220"/>
      <c r="V3" s="220"/>
      <c r="W3" s="104"/>
      <c r="X3" s="104"/>
      <c r="Y3" s="104"/>
      <c r="Z3" s="104"/>
      <c r="AA3" s="104"/>
      <c r="AB3" s="104" t="s">
        <v>206</v>
      </c>
      <c r="AC3" s="148"/>
      <c r="AD3" s="109"/>
      <c r="AE3" s="109"/>
      <c r="AF3" s="109"/>
      <c r="AG3" s="109"/>
      <c r="AH3" s="149"/>
      <c r="AI3" s="110"/>
      <c r="AJ3" s="111"/>
      <c r="AK3" s="111"/>
      <c r="AL3" s="111"/>
      <c r="AM3" s="111"/>
      <c r="AN3" s="111"/>
      <c r="AO3" s="111"/>
      <c r="AP3" s="111"/>
      <c r="AQ3" t="str">
        <f t="shared" ref="AQ3" si="0">_xlfn.CONCAT(A3," ---  ",B3)</f>
        <v>CMS ERM Michigan ---  ECC Supplier Integration (Not Testing)</v>
      </c>
      <c r="AR3" s="177"/>
      <c r="AS3" s="177"/>
      <c r="AT3" s="178"/>
      <c r="AU3" s="178"/>
      <c r="AV3" s="177"/>
      <c r="AW3" s="177"/>
      <c r="AX3" s="177"/>
      <c r="BQ3"/>
    </row>
    <row r="4" spans="1:69" s="4" customFormat="1" ht="15.75" customHeight="1" thickBot="1">
      <c r="A4" s="21" t="s">
        <v>34</v>
      </c>
      <c r="B4" s="21" t="s">
        <v>35</v>
      </c>
      <c r="C4" s="21" t="s">
        <v>36</v>
      </c>
      <c r="D4" s="21" t="s">
        <v>605</v>
      </c>
      <c r="E4" s="161" t="s">
        <v>527</v>
      </c>
      <c r="F4" s="161"/>
      <c r="G4" s="193" t="s">
        <v>606</v>
      </c>
      <c r="H4" s="248" t="s">
        <v>38</v>
      </c>
      <c r="I4" s="167" t="s">
        <v>607</v>
      </c>
      <c r="J4" s="173" t="s">
        <v>39</v>
      </c>
      <c r="K4" s="173" t="s">
        <v>39</v>
      </c>
      <c r="L4" s="216" t="s">
        <v>78</v>
      </c>
      <c r="M4" s="209"/>
      <c r="N4" s="244"/>
      <c r="O4" s="244"/>
      <c r="P4" s="244"/>
      <c r="Q4" s="244" t="s">
        <v>605</v>
      </c>
      <c r="R4" s="244"/>
      <c r="S4" s="244"/>
      <c r="T4" s="237"/>
      <c r="U4" s="237"/>
      <c r="V4" s="169" t="s">
        <v>608</v>
      </c>
      <c r="W4" s="159" t="s">
        <v>609</v>
      </c>
      <c r="X4" s="105" t="s">
        <v>610</v>
      </c>
      <c r="Y4" s="106" t="s">
        <v>611</v>
      </c>
      <c r="Z4" s="107">
        <v>46076</v>
      </c>
      <c r="AA4" s="104" t="s">
        <v>612</v>
      </c>
      <c r="AB4" s="140" t="s">
        <v>39</v>
      </c>
      <c r="AC4" s="156"/>
      <c r="AD4" s="143"/>
      <c r="AE4" s="109"/>
      <c r="AF4" s="109"/>
      <c r="AG4" s="141"/>
      <c r="AH4" s="157"/>
      <c r="AI4" s="144"/>
      <c r="AJ4" s="111"/>
      <c r="AK4" s="111"/>
      <c r="AL4" s="111"/>
      <c r="AM4" s="111"/>
      <c r="AN4" s="111"/>
      <c r="AO4" s="111"/>
      <c r="AP4" s="142"/>
      <c r="AQ4" s="175" t="str">
        <f t="shared" ref="AQ4:AQ35" si="1">_xlfn.CONCAT(A4," ---  ",B4)</f>
        <v>Kubra ---  2WCC</v>
      </c>
      <c r="AR4" s="186"/>
      <c r="AS4" s="186"/>
      <c r="AT4" s="186"/>
      <c r="AU4" s="186"/>
      <c r="AV4" s="186"/>
      <c r="AW4" s="186"/>
      <c r="AX4" s="186"/>
      <c r="BQ4" s="16"/>
    </row>
    <row r="5" spans="1:69" ht="15.75" customHeight="1" thickBot="1">
      <c r="A5" s="150" t="s">
        <v>215</v>
      </c>
      <c r="B5" s="150" t="s">
        <v>601</v>
      </c>
      <c r="C5" s="150" t="s">
        <v>120</v>
      </c>
      <c r="D5" s="150"/>
      <c r="E5" s="151" t="s">
        <v>527</v>
      </c>
      <c r="F5" s="226"/>
      <c r="G5" s="165" t="s">
        <v>204</v>
      </c>
      <c r="H5" s="116" t="s">
        <v>216</v>
      </c>
      <c r="I5" s="155"/>
      <c r="J5" s="152"/>
      <c r="K5" s="152"/>
      <c r="L5" s="213" t="s">
        <v>78</v>
      </c>
      <c r="M5" s="104"/>
      <c r="N5" s="220"/>
      <c r="O5" s="220"/>
      <c r="P5" s="220"/>
      <c r="Q5" s="220"/>
      <c r="R5" s="220"/>
      <c r="S5" s="220"/>
      <c r="T5" s="220"/>
      <c r="U5" s="220"/>
      <c r="V5" s="220"/>
      <c r="W5" s="104"/>
      <c r="X5" s="104"/>
      <c r="Y5" s="104"/>
      <c r="Z5" s="104"/>
      <c r="AA5" s="104"/>
      <c r="AB5" s="104" t="s">
        <v>206</v>
      </c>
      <c r="AC5" s="153"/>
      <c r="AD5" s="109"/>
      <c r="AE5" s="109"/>
      <c r="AF5" s="109"/>
      <c r="AG5" s="109"/>
      <c r="AH5" s="154"/>
      <c r="AI5" s="110"/>
      <c r="AJ5" s="111"/>
      <c r="AK5" s="111"/>
      <c r="AL5" s="111"/>
      <c r="AM5" s="111"/>
      <c r="AN5" s="111"/>
      <c r="AO5" s="111"/>
      <c r="AP5" s="111"/>
      <c r="AQ5" t="str">
        <f t="shared" si="1"/>
        <v>Direct Energy Business LLC ---  ECC Supplier Integration (Not Testing)</v>
      </c>
      <c r="AR5" s="177"/>
      <c r="AS5" s="177"/>
      <c r="AT5" s="179"/>
      <c r="AU5" s="179"/>
      <c r="AV5" s="177"/>
      <c r="AW5" s="177"/>
      <c r="AX5" s="177"/>
      <c r="BQ5"/>
    </row>
    <row r="6" spans="1:69" ht="15.75" customHeight="1" thickBot="1">
      <c r="A6" s="102" t="s">
        <v>217</v>
      </c>
      <c r="B6" s="102" t="s">
        <v>601</v>
      </c>
      <c r="C6" s="102" t="s">
        <v>120</v>
      </c>
      <c r="D6" s="102"/>
      <c r="E6" s="103" t="s">
        <v>527</v>
      </c>
      <c r="F6" s="226"/>
      <c r="G6" s="165" t="s">
        <v>204</v>
      </c>
      <c r="H6" s="116" t="s">
        <v>218</v>
      </c>
      <c r="I6" s="155"/>
      <c r="J6" s="91"/>
      <c r="K6" s="91"/>
      <c r="L6" s="140" t="s">
        <v>78</v>
      </c>
      <c r="M6" s="104"/>
      <c r="N6" s="220"/>
      <c r="O6" s="220"/>
      <c r="P6" s="220"/>
      <c r="Q6" s="220"/>
      <c r="R6" s="220"/>
      <c r="S6" s="220"/>
      <c r="T6" s="220"/>
      <c r="U6" s="220"/>
      <c r="V6" s="220"/>
      <c r="W6" s="104"/>
      <c r="X6" s="104"/>
      <c r="Y6" s="104"/>
      <c r="Z6" s="104"/>
      <c r="AA6" s="104"/>
      <c r="AB6" s="104" t="s">
        <v>206</v>
      </c>
      <c r="AC6" s="108"/>
      <c r="AD6" s="109"/>
      <c r="AE6" s="109"/>
      <c r="AF6" s="109"/>
      <c r="AG6" s="109"/>
      <c r="AH6" s="110"/>
      <c r="AI6" s="110"/>
      <c r="AJ6" s="111"/>
      <c r="AK6" s="111"/>
      <c r="AL6" s="111"/>
      <c r="AM6" s="111"/>
      <c r="AN6" s="111"/>
      <c r="AO6" s="111"/>
      <c r="AP6" s="111"/>
      <c r="AQ6" t="str">
        <f t="shared" si="1"/>
        <v>Energy Harbor LLC ---  ECC Supplier Integration (Not Testing)</v>
      </c>
      <c r="AR6" s="177"/>
      <c r="AS6" s="177"/>
      <c r="AT6" s="179"/>
      <c r="AU6" s="179"/>
      <c r="AV6" s="177"/>
      <c r="AW6" s="177"/>
      <c r="AX6" s="135"/>
      <c r="BQ6"/>
    </row>
    <row r="7" spans="1:69" ht="15.75" customHeight="1" thickBot="1">
      <c r="A7" s="102" t="s">
        <v>219</v>
      </c>
      <c r="B7" s="102" t="s">
        <v>601</v>
      </c>
      <c r="C7" s="102" t="s">
        <v>120</v>
      </c>
      <c r="D7" s="102"/>
      <c r="E7" s="103" t="s">
        <v>527</v>
      </c>
      <c r="F7" s="226"/>
      <c r="G7" s="165" t="s">
        <v>204</v>
      </c>
      <c r="H7" s="116" t="s">
        <v>220</v>
      </c>
      <c r="I7" s="155"/>
      <c r="J7" s="91"/>
      <c r="K7" s="91"/>
      <c r="L7" s="140" t="s">
        <v>78</v>
      </c>
      <c r="M7" s="104"/>
      <c r="N7" s="220"/>
      <c r="O7" s="220"/>
      <c r="P7" s="220"/>
      <c r="Q7" s="220"/>
      <c r="R7" s="220"/>
      <c r="S7" s="220"/>
      <c r="T7" s="220"/>
      <c r="U7" s="220"/>
      <c r="V7" s="220"/>
      <c r="W7" s="104"/>
      <c r="X7" s="104"/>
      <c r="Y7" s="104"/>
      <c r="Z7" s="104"/>
      <c r="AA7" s="104"/>
      <c r="AB7" s="104" t="s">
        <v>206</v>
      </c>
      <c r="AC7" s="108"/>
      <c r="AD7" s="109"/>
      <c r="AE7" s="109"/>
      <c r="AF7" s="109"/>
      <c r="AG7" s="109"/>
      <c r="AH7" s="110"/>
      <c r="AI7" s="110"/>
      <c r="AJ7" s="111"/>
      <c r="AK7" s="111"/>
      <c r="AL7" s="111"/>
      <c r="AM7" s="111"/>
      <c r="AN7" s="111"/>
      <c r="AO7" s="111"/>
      <c r="AP7" s="111"/>
      <c r="AQ7" t="str">
        <f t="shared" si="1"/>
        <v>Spartan Renewable Energy ---  ECC Supplier Integration (Not Testing)</v>
      </c>
      <c r="AR7" s="177"/>
      <c r="AS7" s="177"/>
      <c r="AT7" s="179"/>
      <c r="AU7" s="179"/>
      <c r="AV7" s="177"/>
      <c r="AW7" s="177"/>
      <c r="AX7" s="135"/>
      <c r="BQ7"/>
    </row>
    <row r="8" spans="1:69" ht="15.75" customHeight="1" thickBot="1">
      <c r="A8" s="145" t="s">
        <v>221</v>
      </c>
      <c r="B8" s="145" t="s">
        <v>601</v>
      </c>
      <c r="C8" s="145" t="s">
        <v>120</v>
      </c>
      <c r="D8" s="145"/>
      <c r="E8" s="146" t="s">
        <v>527</v>
      </c>
      <c r="F8" s="226"/>
      <c r="G8" s="165" t="s">
        <v>204</v>
      </c>
      <c r="H8" s="116" t="s">
        <v>220</v>
      </c>
      <c r="I8" s="155"/>
      <c r="J8" s="147"/>
      <c r="K8" s="147"/>
      <c r="L8" s="212" t="s">
        <v>78</v>
      </c>
      <c r="M8" s="104"/>
      <c r="N8" s="220"/>
      <c r="O8" s="220"/>
      <c r="P8" s="220"/>
      <c r="Q8" s="220"/>
      <c r="R8" s="220"/>
      <c r="S8" s="220"/>
      <c r="T8" s="220"/>
      <c r="U8" s="220"/>
      <c r="V8" s="220"/>
      <c r="W8" s="104"/>
      <c r="X8" s="104"/>
      <c r="Y8" s="104"/>
      <c r="Z8" s="104"/>
      <c r="AA8" s="104"/>
      <c r="AB8" s="104" t="s">
        <v>206</v>
      </c>
      <c r="AC8" s="148"/>
      <c r="AD8" s="109"/>
      <c r="AE8" s="109"/>
      <c r="AF8" s="109"/>
      <c r="AG8" s="109"/>
      <c r="AH8" s="149"/>
      <c r="AI8" s="110"/>
      <c r="AJ8" s="111"/>
      <c r="AK8" s="111"/>
      <c r="AL8" s="111"/>
      <c r="AM8" s="111"/>
      <c r="AN8" s="111"/>
      <c r="AO8" s="111"/>
      <c r="AP8" s="111"/>
      <c r="AQ8" t="str">
        <f t="shared" si="1"/>
        <v>Wolverine Power Marketing Cooperative ---  ECC Supplier Integration (Not Testing)</v>
      </c>
      <c r="AR8" s="177"/>
      <c r="AS8" s="177"/>
      <c r="AT8" s="179"/>
      <c r="AU8" s="179"/>
      <c r="AV8" s="177"/>
      <c r="AW8" s="177"/>
      <c r="AX8" s="177"/>
      <c r="BQ8"/>
    </row>
    <row r="9" spans="1:69" s="4" customFormat="1" ht="15.75" customHeight="1" thickBot="1">
      <c r="A9" s="21" t="s">
        <v>158</v>
      </c>
      <c r="B9" s="21" t="s">
        <v>613</v>
      </c>
      <c r="C9" s="21" t="s">
        <v>161</v>
      </c>
      <c r="D9" s="21" t="s">
        <v>605</v>
      </c>
      <c r="E9" s="161" t="s">
        <v>527</v>
      </c>
      <c r="F9" s="161"/>
      <c r="G9" s="193" t="s">
        <v>614</v>
      </c>
      <c r="H9" s="163" t="s">
        <v>44</v>
      </c>
      <c r="I9" s="166"/>
      <c r="J9" s="173" t="s">
        <v>39</v>
      </c>
      <c r="K9" s="173" t="s">
        <v>39</v>
      </c>
      <c r="L9" s="216" t="s">
        <v>78</v>
      </c>
      <c r="M9" s="209"/>
      <c r="N9" s="244"/>
      <c r="O9" s="244"/>
      <c r="P9" s="244"/>
      <c r="Q9" s="244" t="s">
        <v>605</v>
      </c>
      <c r="R9" s="244"/>
      <c r="S9" s="244"/>
      <c r="T9" s="237"/>
      <c r="U9" s="237"/>
      <c r="V9" s="169" t="s">
        <v>615</v>
      </c>
      <c r="W9" s="159" t="s">
        <v>609</v>
      </c>
      <c r="X9" s="104"/>
      <c r="Y9" s="104"/>
      <c r="Z9" s="104"/>
      <c r="AA9" s="104"/>
      <c r="AB9" s="140" t="s">
        <v>44</v>
      </c>
      <c r="AC9" s="156"/>
      <c r="AD9" s="143" t="s">
        <v>616</v>
      </c>
      <c r="AE9" s="109"/>
      <c r="AF9" s="109"/>
      <c r="AG9" s="141"/>
      <c r="AH9" s="157"/>
      <c r="AI9" s="144"/>
      <c r="AJ9" s="111"/>
      <c r="AK9" s="111"/>
      <c r="AL9" s="111"/>
      <c r="AM9" s="111"/>
      <c r="AN9" s="111"/>
      <c r="AO9" s="111"/>
      <c r="AP9" s="142"/>
      <c r="AQ9" s="175" t="str">
        <f t="shared" si="1"/>
        <v>Microsoft ---  COMET MS Dynamics</v>
      </c>
      <c r="AR9" s="186"/>
      <c r="AS9" s="186"/>
      <c r="AT9" s="186"/>
      <c r="AU9" s="186"/>
      <c r="AV9" s="186"/>
      <c r="AW9" s="186"/>
      <c r="AX9" s="186"/>
      <c r="BQ9" s="16"/>
    </row>
    <row r="10" spans="1:69" s="4" customFormat="1" ht="15.75" customHeight="1">
      <c r="A10" s="21" t="s">
        <v>415</v>
      </c>
      <c r="B10" s="21" t="s">
        <v>415</v>
      </c>
      <c r="C10" s="21" t="s">
        <v>152</v>
      </c>
      <c r="D10" s="21" t="s">
        <v>605</v>
      </c>
      <c r="E10" s="161" t="s">
        <v>527</v>
      </c>
      <c r="F10" s="161"/>
      <c r="G10" s="193" t="s">
        <v>617</v>
      </c>
      <c r="H10" s="163" t="s">
        <v>416</v>
      </c>
      <c r="I10" s="168" t="s">
        <v>618</v>
      </c>
      <c r="J10" s="173" t="s">
        <v>39</v>
      </c>
      <c r="K10" s="173" t="s">
        <v>39</v>
      </c>
      <c r="L10" s="215" t="s">
        <v>39</v>
      </c>
      <c r="M10" s="208"/>
      <c r="N10" s="244"/>
      <c r="O10" s="244"/>
      <c r="P10" s="244"/>
      <c r="Q10" s="244" t="s">
        <v>605</v>
      </c>
      <c r="R10" s="244"/>
      <c r="S10" s="244"/>
      <c r="T10" s="237"/>
      <c r="U10" s="237"/>
      <c r="V10" s="169" t="s">
        <v>619</v>
      </c>
      <c r="W10" s="159" t="s">
        <v>609</v>
      </c>
      <c r="X10" s="105" t="s">
        <v>620</v>
      </c>
      <c r="Y10" s="106" t="s">
        <v>621</v>
      </c>
      <c r="Z10" s="107">
        <v>46076</v>
      </c>
      <c r="AA10" s="104" t="s">
        <v>612</v>
      </c>
      <c r="AB10" s="140" t="s">
        <v>39</v>
      </c>
      <c r="AC10" s="156"/>
      <c r="AD10" s="143"/>
      <c r="AE10" s="109"/>
      <c r="AF10" s="109" t="s">
        <v>622</v>
      </c>
      <c r="AG10" s="141"/>
      <c r="AH10" s="157"/>
      <c r="AI10" s="144"/>
      <c r="AJ10" s="111"/>
      <c r="AK10" s="111"/>
      <c r="AL10" s="111"/>
      <c r="AM10" s="111"/>
      <c r="AN10" s="111"/>
      <c r="AO10" s="111"/>
      <c r="AP10" s="142"/>
      <c r="AQ10" s="175" t="str">
        <f t="shared" si="1"/>
        <v>Paymentus ---  Paymentus</v>
      </c>
    </row>
    <row r="11" spans="1:69" s="4" customFormat="1" ht="15.75" customHeight="1">
      <c r="A11" s="21" t="s">
        <v>623</v>
      </c>
      <c r="B11" s="21" t="s">
        <v>624</v>
      </c>
      <c r="C11" s="21" t="s">
        <v>326</v>
      </c>
      <c r="D11" s="21" t="s">
        <v>605</v>
      </c>
      <c r="E11" s="161" t="s">
        <v>527</v>
      </c>
      <c r="F11" s="161"/>
      <c r="G11" s="193" t="s">
        <v>625</v>
      </c>
      <c r="H11" s="163" t="s">
        <v>149</v>
      </c>
      <c r="I11" s="167" t="s">
        <v>607</v>
      </c>
      <c r="J11" s="173" t="s">
        <v>39</v>
      </c>
      <c r="K11" s="205" t="s">
        <v>39</v>
      </c>
      <c r="L11" s="214" t="s">
        <v>78</v>
      </c>
      <c r="M11" s="207"/>
      <c r="N11" s="257"/>
      <c r="O11" s="257"/>
      <c r="P11" s="257"/>
      <c r="Q11" s="244" t="s">
        <v>605</v>
      </c>
      <c r="R11" s="244"/>
      <c r="S11" s="257"/>
      <c r="T11" s="238"/>
      <c r="U11" s="238"/>
      <c r="V11" s="169" t="s">
        <v>626</v>
      </c>
      <c r="W11" s="160" t="s">
        <v>627</v>
      </c>
      <c r="X11" s="105" t="s">
        <v>628</v>
      </c>
      <c r="Y11" s="106" t="s">
        <v>611</v>
      </c>
      <c r="Z11" s="107"/>
      <c r="AA11" s="104" t="s">
        <v>612</v>
      </c>
      <c r="AB11" s="140" t="s">
        <v>39</v>
      </c>
      <c r="AC11" s="156"/>
      <c r="AD11" s="143"/>
      <c r="AE11" s="109"/>
      <c r="AF11" s="109"/>
      <c r="AG11" s="141"/>
      <c r="AH11" s="157"/>
      <c r="AI11" s="144"/>
      <c r="AJ11" s="111"/>
      <c r="AK11" s="111"/>
      <c r="AL11" s="111"/>
      <c r="AM11" s="111"/>
      <c r="AN11" s="111"/>
      <c r="AO11" s="111"/>
      <c r="AP11" s="142"/>
      <c r="AQ11" s="175" t="str">
        <f t="shared" si="1"/>
        <v>Voxai (Handles Genesys &amp; DialPad/Koopid) ---  Support vendor for Genesys &amp; Click to Chat-Texting from IVR Integration</v>
      </c>
      <c r="BQ11" s="16"/>
    </row>
    <row r="12" spans="1:69" s="4" customFormat="1" ht="21.75" customHeight="1">
      <c r="A12" s="21" t="s">
        <v>179</v>
      </c>
      <c r="B12" s="21" t="s">
        <v>629</v>
      </c>
      <c r="C12" s="21" t="s">
        <v>152</v>
      </c>
      <c r="D12" s="21" t="s">
        <v>605</v>
      </c>
      <c r="E12" s="161" t="s">
        <v>527</v>
      </c>
      <c r="F12" s="161"/>
      <c r="G12" s="193" t="s">
        <v>630</v>
      </c>
      <c r="H12" s="163" t="s">
        <v>181</v>
      </c>
      <c r="I12" s="168" t="s">
        <v>618</v>
      </c>
      <c r="J12" s="173" t="s">
        <v>39</v>
      </c>
      <c r="K12" s="173" t="s">
        <v>39</v>
      </c>
      <c r="L12" s="215" t="s">
        <v>39</v>
      </c>
      <c r="M12" s="208"/>
      <c r="N12" s="244"/>
      <c r="O12" s="244"/>
      <c r="P12" s="244"/>
      <c r="Q12" s="244" t="s">
        <v>631</v>
      </c>
      <c r="R12" s="244"/>
      <c r="S12" s="244"/>
      <c r="T12" s="237"/>
      <c r="U12" s="237"/>
      <c r="V12" s="169" t="s">
        <v>632</v>
      </c>
      <c r="W12" s="159" t="s">
        <v>609</v>
      </c>
      <c r="X12" s="124" t="s">
        <v>620</v>
      </c>
      <c r="Y12" s="104" t="s">
        <v>621</v>
      </c>
      <c r="Z12" s="107">
        <v>46076</v>
      </c>
      <c r="AA12" s="104" t="s">
        <v>612</v>
      </c>
      <c r="AB12" s="140" t="s">
        <v>39</v>
      </c>
      <c r="AC12" s="156"/>
      <c r="AD12" s="143"/>
      <c r="AE12" s="109"/>
      <c r="AF12" s="109"/>
      <c r="AG12" s="141"/>
      <c r="AH12" s="157"/>
      <c r="AI12" s="144"/>
      <c r="AJ12" s="111"/>
      <c r="AK12" s="111"/>
      <c r="AL12" s="111"/>
      <c r="AM12" s="111"/>
      <c r="AN12" s="111"/>
      <c r="AO12" s="111"/>
      <c r="AP12" s="142"/>
      <c r="AQ12" s="175" t="str">
        <f t="shared" si="1"/>
        <v>FiServ ---  Customer Payments Integration</v>
      </c>
      <c r="BQ12" s="16"/>
    </row>
    <row r="13" spans="1:69" s="4" customFormat="1" ht="48.75" customHeight="1">
      <c r="A13" s="21" t="s">
        <v>633</v>
      </c>
      <c r="B13" s="21" t="s">
        <v>370</v>
      </c>
      <c r="C13" s="21" t="s">
        <v>120</v>
      </c>
      <c r="D13" s="21" t="s">
        <v>605</v>
      </c>
      <c r="E13" s="161" t="s">
        <v>527</v>
      </c>
      <c r="F13" s="161"/>
      <c r="G13" s="204" t="s">
        <v>634</v>
      </c>
      <c r="H13" s="162" t="s">
        <v>372</v>
      </c>
      <c r="I13" s="166"/>
      <c r="J13" s="173" t="s">
        <v>39</v>
      </c>
      <c r="K13" s="173" t="s">
        <v>39</v>
      </c>
      <c r="L13" s="216" t="s">
        <v>78</v>
      </c>
      <c r="M13" s="209"/>
      <c r="N13" s="244"/>
      <c r="O13" s="244"/>
      <c r="P13" s="244"/>
      <c r="Q13" s="244" t="s">
        <v>635</v>
      </c>
      <c r="R13" s="244"/>
      <c r="S13" s="244"/>
      <c r="T13" s="237"/>
      <c r="U13" s="237"/>
      <c r="V13" s="169" t="s">
        <v>636</v>
      </c>
      <c r="W13" s="159" t="s">
        <v>609</v>
      </c>
      <c r="X13" s="104"/>
      <c r="Y13" s="104"/>
      <c r="Z13" s="104"/>
      <c r="AA13" s="104"/>
      <c r="AB13" s="140" t="s">
        <v>39</v>
      </c>
      <c r="AC13" s="156"/>
      <c r="AD13" s="143"/>
      <c r="AE13" s="109"/>
      <c r="AF13" s="109"/>
      <c r="AG13" s="141"/>
      <c r="AH13" s="157"/>
      <c r="AI13" s="144"/>
      <c r="AJ13" s="111"/>
      <c r="AK13" s="111"/>
      <c r="AL13" s="111"/>
      <c r="AM13" s="111"/>
      <c r="AN13" s="111"/>
      <c r="AO13" s="111"/>
      <c r="AP13" s="142"/>
      <c r="AQ13" s="175" t="str">
        <f t="shared" si="1"/>
        <v>GridX (Moving to Advise TBD) ---  Large Customer Rate Tool</v>
      </c>
      <c r="BQ13" s="16"/>
    </row>
    <row r="14" spans="1:69" s="4" customFormat="1" ht="56.25" customHeight="1">
      <c r="A14" s="21" t="s">
        <v>637</v>
      </c>
      <c r="B14" s="21" t="s">
        <v>638</v>
      </c>
      <c r="C14" s="21" t="s">
        <v>120</v>
      </c>
      <c r="D14" s="21" t="s">
        <v>605</v>
      </c>
      <c r="E14" s="161" t="s">
        <v>527</v>
      </c>
      <c r="F14" s="161"/>
      <c r="G14" s="192" t="s">
        <v>639</v>
      </c>
      <c r="H14" s="164" t="s">
        <v>640</v>
      </c>
      <c r="I14" s="166"/>
      <c r="J14" s="173" t="s">
        <v>39</v>
      </c>
      <c r="K14" s="173" t="s">
        <v>39</v>
      </c>
      <c r="L14" s="216" t="s">
        <v>78</v>
      </c>
      <c r="M14" s="209"/>
      <c r="N14" s="244"/>
      <c r="O14" s="244"/>
      <c r="P14" s="244" t="s">
        <v>605</v>
      </c>
      <c r="Q14" s="244"/>
      <c r="R14" s="244"/>
      <c r="S14" s="244"/>
      <c r="T14" s="237"/>
      <c r="U14" s="237"/>
      <c r="V14" s="169"/>
      <c r="W14" s="159" t="s">
        <v>609</v>
      </c>
      <c r="X14" s="104"/>
      <c r="Y14" s="104"/>
      <c r="Z14" s="104"/>
      <c r="AA14" s="104"/>
      <c r="AB14" s="140"/>
      <c r="AC14" s="156"/>
      <c r="AD14" s="143"/>
      <c r="AE14" s="109"/>
      <c r="AF14" s="109"/>
      <c r="AG14" s="141"/>
      <c r="AH14" s="157"/>
      <c r="AI14" s="144"/>
      <c r="AJ14" s="111"/>
      <c r="AK14" s="111"/>
      <c r="AL14" s="111"/>
      <c r="AM14" s="111"/>
      <c r="AN14" s="111"/>
      <c r="AO14" s="111"/>
      <c r="AP14" s="142"/>
      <c r="AQ14" s="175" t="str">
        <f t="shared" si="1"/>
        <v>ESG ---  GCC Supplier Integration (Testing)</v>
      </c>
      <c r="BQ14" s="16"/>
    </row>
    <row r="15" spans="1:69" s="4" customFormat="1" ht="15.75" customHeight="1">
      <c r="A15" s="21" t="s">
        <v>433</v>
      </c>
      <c r="B15" s="21" t="s">
        <v>641</v>
      </c>
      <c r="C15" s="21" t="s">
        <v>161</v>
      </c>
      <c r="D15" s="21" t="s">
        <v>605</v>
      </c>
      <c r="E15" s="161" t="s">
        <v>527</v>
      </c>
      <c r="F15" s="161"/>
      <c r="G15" s="192" t="s">
        <v>642</v>
      </c>
      <c r="H15" s="250" t="s">
        <v>643</v>
      </c>
      <c r="I15" s="166"/>
      <c r="J15" s="172" t="s">
        <v>39</v>
      </c>
      <c r="K15" s="172" t="s">
        <v>39</v>
      </c>
      <c r="L15" s="217" t="s">
        <v>78</v>
      </c>
      <c r="M15" s="210"/>
      <c r="N15" s="258"/>
      <c r="O15" s="258"/>
      <c r="P15" s="258" t="s">
        <v>644</v>
      </c>
      <c r="Q15" s="258"/>
      <c r="R15" s="258"/>
      <c r="S15" s="258" t="s">
        <v>605</v>
      </c>
      <c r="T15" s="239"/>
      <c r="U15" s="239"/>
      <c r="V15" s="169" t="s">
        <v>645</v>
      </c>
      <c r="W15" s="160" t="s">
        <v>627</v>
      </c>
      <c r="X15" s="104"/>
      <c r="Y15" s="104"/>
      <c r="Z15" s="104"/>
      <c r="AA15" s="104"/>
      <c r="AB15" s="140" t="s">
        <v>39</v>
      </c>
      <c r="AC15" s="156"/>
      <c r="AD15" s="143"/>
      <c r="AE15" s="109"/>
      <c r="AF15" s="109"/>
      <c r="AG15" s="141"/>
      <c r="AH15" s="157"/>
      <c r="AI15" s="144"/>
      <c r="AJ15" s="111"/>
      <c r="AK15" s="111"/>
      <c r="AL15" s="111"/>
      <c r="AM15" s="111"/>
      <c r="AN15" s="111"/>
      <c r="AO15" s="111"/>
      <c r="AP15" s="142"/>
      <c r="AQ15" s="175" t="str">
        <f t="shared" si="1"/>
        <v xml:space="preserve">CleanPower ---  PowerMI Drive; Interconnections/PowerClerk </v>
      </c>
      <c r="BQ15" s="16"/>
    </row>
    <row r="16" spans="1:69" s="4" customFormat="1" ht="31.35" customHeight="1">
      <c r="A16" s="21" t="s">
        <v>428</v>
      </c>
      <c r="B16" s="21" t="s">
        <v>646</v>
      </c>
      <c r="C16" s="21" t="s">
        <v>161</v>
      </c>
      <c r="D16" s="21" t="s">
        <v>605</v>
      </c>
      <c r="E16" s="161" t="s">
        <v>527</v>
      </c>
      <c r="F16" s="161"/>
      <c r="G16" s="193" t="s">
        <v>647</v>
      </c>
      <c r="H16" s="163" t="s">
        <v>431</v>
      </c>
      <c r="I16" s="263"/>
      <c r="J16" s="173" t="s">
        <v>39</v>
      </c>
      <c r="K16" s="173" t="s">
        <v>39</v>
      </c>
      <c r="L16" s="216" t="s">
        <v>78</v>
      </c>
      <c r="M16" s="209"/>
      <c r="N16" s="244"/>
      <c r="O16" s="244"/>
      <c r="P16" s="258" t="s">
        <v>644</v>
      </c>
      <c r="Q16" s="244"/>
      <c r="R16" s="244"/>
      <c r="S16" s="244" t="s">
        <v>605</v>
      </c>
      <c r="T16" s="237"/>
      <c r="U16" s="237"/>
      <c r="V16" s="169" t="s">
        <v>648</v>
      </c>
      <c r="W16" s="159" t="s">
        <v>609</v>
      </c>
      <c r="X16" s="104"/>
      <c r="Y16" s="104"/>
      <c r="Z16" s="104"/>
      <c r="AA16" s="104"/>
      <c r="AB16" s="140" t="s">
        <v>39</v>
      </c>
      <c r="AC16" s="156"/>
      <c r="AD16" s="143"/>
      <c r="AE16" s="109"/>
      <c r="AF16" s="109"/>
      <c r="AG16" s="141"/>
      <c r="AH16" s="157"/>
      <c r="AI16" s="144"/>
      <c r="AJ16" s="111"/>
      <c r="AK16" s="111"/>
      <c r="AL16" s="111"/>
      <c r="AM16" s="111"/>
      <c r="AN16" s="111"/>
      <c r="AO16" s="111"/>
      <c r="AP16" s="142"/>
      <c r="AQ16" s="175" t="str">
        <f t="shared" si="1"/>
        <v>Sagewell ---  PowerMI Drive Integration</v>
      </c>
    </row>
    <row r="17" spans="1:69" s="4" customFormat="1" ht="42.75" customHeight="1">
      <c r="A17" s="21" t="s">
        <v>486</v>
      </c>
      <c r="B17" s="21" t="s">
        <v>649</v>
      </c>
      <c r="C17" s="21" t="s">
        <v>152</v>
      </c>
      <c r="D17" s="21" t="s">
        <v>605</v>
      </c>
      <c r="E17" s="161" t="s">
        <v>527</v>
      </c>
      <c r="F17" s="161"/>
      <c r="G17" s="193" t="s">
        <v>650</v>
      </c>
      <c r="H17" s="163" t="s">
        <v>488</v>
      </c>
      <c r="I17" s="166"/>
      <c r="J17" s="173" t="s">
        <v>39</v>
      </c>
      <c r="K17" s="173" t="s">
        <v>39</v>
      </c>
      <c r="L17" s="216" t="s">
        <v>78</v>
      </c>
      <c r="M17" s="209"/>
      <c r="N17" s="244"/>
      <c r="O17" s="244"/>
      <c r="P17" s="244"/>
      <c r="Q17" s="244"/>
      <c r="R17" s="244" t="s">
        <v>605</v>
      </c>
      <c r="S17" s="244"/>
      <c r="T17" s="237"/>
      <c r="U17" s="237"/>
      <c r="V17" s="169" t="s">
        <v>651</v>
      </c>
      <c r="W17" s="159" t="s">
        <v>609</v>
      </c>
      <c r="X17" s="104"/>
      <c r="Y17" s="104"/>
      <c r="Z17" s="104"/>
      <c r="AA17" s="104"/>
      <c r="AB17" s="140" t="s">
        <v>39</v>
      </c>
      <c r="AC17" s="156"/>
      <c r="AD17" s="143"/>
      <c r="AE17" s="109"/>
      <c r="AF17" s="109"/>
      <c r="AG17" s="141"/>
      <c r="AH17" s="157"/>
      <c r="AI17" s="144"/>
      <c r="AJ17" s="111"/>
      <c r="AK17" s="111"/>
      <c r="AL17" s="111"/>
      <c r="AM17" s="111"/>
      <c r="AN17" s="111"/>
      <c r="AO17" s="111"/>
      <c r="AP17" s="142"/>
      <c r="AQ17" s="175" t="str">
        <f t="shared" si="1"/>
        <v>DHHS ---  State Emergency Relief Fund (SER) Integration</v>
      </c>
      <c r="BQ17" s="16"/>
    </row>
    <row r="18" spans="1:69" s="4" customFormat="1" ht="57" customHeight="1">
      <c r="A18" s="21" t="s">
        <v>374</v>
      </c>
      <c r="B18" s="21" t="s">
        <v>652</v>
      </c>
      <c r="C18" s="21" t="s">
        <v>152</v>
      </c>
      <c r="D18" s="21" t="s">
        <v>605</v>
      </c>
      <c r="E18" s="161" t="s">
        <v>527</v>
      </c>
      <c r="F18" s="161"/>
      <c r="G18" s="193" t="s">
        <v>650</v>
      </c>
      <c r="H18" s="163" t="s">
        <v>376</v>
      </c>
      <c r="I18" s="166"/>
      <c r="J18" s="173" t="s">
        <v>39</v>
      </c>
      <c r="K18" s="173" t="s">
        <v>39</v>
      </c>
      <c r="L18" s="216" t="s">
        <v>78</v>
      </c>
      <c r="M18" s="209"/>
      <c r="N18" s="244"/>
      <c r="O18" s="244"/>
      <c r="P18" s="244"/>
      <c r="Q18" s="244"/>
      <c r="R18" s="244" t="s">
        <v>605</v>
      </c>
      <c r="S18" s="244"/>
      <c r="T18" s="237"/>
      <c r="U18" s="237"/>
      <c r="V18" s="169" t="s">
        <v>653</v>
      </c>
      <c r="W18" s="160" t="s">
        <v>627</v>
      </c>
      <c r="X18" s="104"/>
      <c r="Y18" s="104"/>
      <c r="Z18" s="104"/>
      <c r="AA18" s="104"/>
      <c r="AB18" s="140" t="s">
        <v>39</v>
      </c>
      <c r="AC18" s="156"/>
      <c r="AD18" s="143"/>
      <c r="AE18" s="109"/>
      <c r="AF18" s="109"/>
      <c r="AG18" s="141"/>
      <c r="AH18" s="157"/>
      <c r="AI18" s="144"/>
      <c r="AJ18" s="111"/>
      <c r="AK18" s="111"/>
      <c r="AL18" s="111"/>
      <c r="AM18" s="111"/>
      <c r="AN18" s="111"/>
      <c r="AO18" s="111"/>
      <c r="AP18" s="142"/>
      <c r="AQ18" s="175" t="str">
        <f t="shared" si="1"/>
        <v>State of MI ---  LIHEAP Payments (CA_INT_140) Integration</v>
      </c>
      <c r="BQ18" s="16" t="s">
        <v>654</v>
      </c>
    </row>
    <row r="19" spans="1:69" s="4" customFormat="1" ht="15.75" customHeight="1">
      <c r="A19" s="21" t="s">
        <v>183</v>
      </c>
      <c r="B19" s="21" t="s">
        <v>655</v>
      </c>
      <c r="C19" s="21" t="s">
        <v>152</v>
      </c>
      <c r="D19" s="21" t="s">
        <v>605</v>
      </c>
      <c r="E19" s="161" t="s">
        <v>527</v>
      </c>
      <c r="F19" s="161"/>
      <c r="G19" s="193" t="s">
        <v>650</v>
      </c>
      <c r="H19" s="163" t="s">
        <v>185</v>
      </c>
      <c r="I19" s="166"/>
      <c r="J19" s="173" t="s">
        <v>39</v>
      </c>
      <c r="K19" s="173" t="s">
        <v>39</v>
      </c>
      <c r="L19" s="216" t="s">
        <v>78</v>
      </c>
      <c r="M19" s="209"/>
      <c r="N19" s="244"/>
      <c r="O19" s="244"/>
      <c r="P19" s="244"/>
      <c r="Q19" s="244"/>
      <c r="R19" s="244" t="s">
        <v>605</v>
      </c>
      <c r="S19" s="244"/>
      <c r="T19" s="237"/>
      <c r="U19" s="237"/>
      <c r="V19" s="169" t="s">
        <v>656</v>
      </c>
      <c r="W19" s="160" t="s">
        <v>627</v>
      </c>
      <c r="X19" s="104"/>
      <c r="Y19" s="104"/>
      <c r="Z19" s="104"/>
      <c r="AA19" s="104"/>
      <c r="AB19" s="140" t="s">
        <v>39</v>
      </c>
      <c r="AC19" s="156"/>
      <c r="AD19" s="143"/>
      <c r="AE19" s="109"/>
      <c r="AF19" s="109"/>
      <c r="AG19" s="141"/>
      <c r="AH19" s="157"/>
      <c r="AI19" s="144"/>
      <c r="AJ19" s="111"/>
      <c r="AK19" s="111"/>
      <c r="AL19" s="111"/>
      <c r="AM19" s="111"/>
      <c r="AN19" s="111"/>
      <c r="AO19" s="111"/>
      <c r="AP19" s="142"/>
      <c r="AQ19" s="175" t="str">
        <f t="shared" si="1"/>
        <v>THAW ---  Customer Payments (CA_INT_240) Integration</v>
      </c>
      <c r="BQ19" s="16"/>
    </row>
    <row r="20" spans="1:69" s="4" customFormat="1" ht="48.95" customHeight="1">
      <c r="A20" s="21" t="s">
        <v>490</v>
      </c>
      <c r="B20" s="21" t="s">
        <v>657</v>
      </c>
      <c r="C20" s="21" t="s">
        <v>161</v>
      </c>
      <c r="D20" s="21" t="s">
        <v>605</v>
      </c>
      <c r="E20" s="161" t="s">
        <v>527</v>
      </c>
      <c r="F20" s="161" t="s">
        <v>658</v>
      </c>
      <c r="G20" s="192" t="s">
        <v>659</v>
      </c>
      <c r="H20" s="163" t="s">
        <v>493</v>
      </c>
      <c r="I20" s="167" t="s">
        <v>607</v>
      </c>
      <c r="J20" s="173" t="s">
        <v>39</v>
      </c>
      <c r="K20" s="173" t="s">
        <v>39</v>
      </c>
      <c r="L20" s="216" t="s">
        <v>78</v>
      </c>
      <c r="M20" s="209"/>
      <c r="N20" s="244"/>
      <c r="O20" s="244"/>
      <c r="P20" s="244"/>
      <c r="Q20" s="244"/>
      <c r="R20" s="244" t="s">
        <v>605</v>
      </c>
      <c r="S20" s="244"/>
      <c r="T20" s="237"/>
      <c r="U20" s="237"/>
      <c r="V20" s="169" t="s">
        <v>660</v>
      </c>
      <c r="W20" s="160" t="s">
        <v>627</v>
      </c>
      <c r="X20" s="105" t="s">
        <v>661</v>
      </c>
      <c r="Y20" s="106" t="s">
        <v>611</v>
      </c>
      <c r="Z20" s="107">
        <v>46070</v>
      </c>
      <c r="AA20" s="104" t="s">
        <v>612</v>
      </c>
      <c r="AB20" s="140" t="s">
        <v>39</v>
      </c>
      <c r="AC20" s="156"/>
      <c r="AD20" s="143"/>
      <c r="AE20" s="109"/>
      <c r="AF20" s="109"/>
      <c r="AG20" s="141"/>
      <c r="AH20" s="157"/>
      <c r="AI20" s="144"/>
      <c r="AJ20" s="111"/>
      <c r="AK20" s="111"/>
      <c r="AL20" s="111"/>
      <c r="AM20" s="111"/>
      <c r="AN20" s="111"/>
      <c r="AO20" s="111"/>
      <c r="AP20" s="142"/>
      <c r="AQ20" s="175" t="str">
        <f t="shared" si="1"/>
        <v>EnergyHub ---  STP (Smart Thermostat)    Integration</v>
      </c>
      <c r="BQ20" s="16"/>
    </row>
    <row r="21" spans="1:69" s="4" customFormat="1" ht="40.35" customHeight="1">
      <c r="A21" s="21" t="s">
        <v>212</v>
      </c>
      <c r="B21" s="21" t="s">
        <v>662</v>
      </c>
      <c r="C21" s="21" t="s">
        <v>120</v>
      </c>
      <c r="D21" s="21" t="s">
        <v>605</v>
      </c>
      <c r="E21" s="161" t="s">
        <v>527</v>
      </c>
      <c r="F21" s="161" t="s">
        <v>663</v>
      </c>
      <c r="G21" s="193" t="s">
        <v>664</v>
      </c>
      <c r="H21" s="163" t="s">
        <v>213</v>
      </c>
      <c r="I21" s="166"/>
      <c r="J21" s="173" t="s">
        <v>39</v>
      </c>
      <c r="K21" s="173" t="s">
        <v>39</v>
      </c>
      <c r="L21" s="216" t="s">
        <v>78</v>
      </c>
      <c r="M21" s="209"/>
      <c r="N21" s="244"/>
      <c r="O21" s="244"/>
      <c r="P21" s="244"/>
      <c r="Q21" s="244"/>
      <c r="R21" s="244" t="s">
        <v>605</v>
      </c>
      <c r="S21" s="244"/>
      <c r="T21" s="237"/>
      <c r="U21" s="237"/>
      <c r="V21" s="169"/>
      <c r="W21" s="160" t="s">
        <v>627</v>
      </c>
      <c r="X21" s="104"/>
      <c r="Y21" s="104"/>
      <c r="Z21" s="104"/>
      <c r="AA21" s="104"/>
      <c r="AB21" s="140" t="s">
        <v>214</v>
      </c>
      <c r="AC21" s="156"/>
      <c r="AD21" s="143"/>
      <c r="AE21" s="109"/>
      <c r="AF21" s="109"/>
      <c r="AG21" s="141"/>
      <c r="AH21" s="157"/>
      <c r="AI21" s="144"/>
      <c r="AJ21" s="111"/>
      <c r="AK21" s="111"/>
      <c r="AL21" s="111"/>
      <c r="AM21" s="111"/>
      <c r="AN21" s="111"/>
      <c r="AO21" s="111"/>
      <c r="AP21" s="142"/>
      <c r="AQ21" s="175" t="str">
        <f t="shared" si="1"/>
        <v>Constellation NewEnergy, Inc ---  ECC Supplier Integration (Testing)</v>
      </c>
      <c r="BQ21" s="16"/>
    </row>
    <row r="22" spans="1:69" s="4" customFormat="1" ht="15.75" customHeight="1">
      <c r="A22" s="21" t="s">
        <v>150</v>
      </c>
      <c r="B22" s="21" t="s">
        <v>665</v>
      </c>
      <c r="C22" s="21" t="s">
        <v>152</v>
      </c>
      <c r="D22" s="21" t="s">
        <v>605</v>
      </c>
      <c r="E22" s="161" t="s">
        <v>527</v>
      </c>
      <c r="F22" s="161"/>
      <c r="G22" s="193" t="s">
        <v>666</v>
      </c>
      <c r="H22" s="163" t="s">
        <v>154</v>
      </c>
      <c r="I22" s="166"/>
      <c r="J22" s="173" t="s">
        <v>39</v>
      </c>
      <c r="K22" s="173" t="s">
        <v>39</v>
      </c>
      <c r="L22" s="216" t="s">
        <v>78</v>
      </c>
      <c r="M22" s="209"/>
      <c r="N22" s="244"/>
      <c r="O22" s="244"/>
      <c r="P22" s="244"/>
      <c r="Q22" s="244"/>
      <c r="R22" s="244" t="s">
        <v>605</v>
      </c>
      <c r="S22" s="244"/>
      <c r="T22" s="237"/>
      <c r="U22" s="237"/>
      <c r="V22" s="169" t="s">
        <v>667</v>
      </c>
      <c r="W22" s="159" t="s">
        <v>609</v>
      </c>
      <c r="X22" s="104"/>
      <c r="Y22" s="104"/>
      <c r="Z22" s="104"/>
      <c r="AA22" s="104"/>
      <c r="AB22" s="140" t="s">
        <v>39</v>
      </c>
      <c r="AC22" s="156"/>
      <c r="AD22" s="143"/>
      <c r="AE22" s="109"/>
      <c r="AF22" s="109" t="s">
        <v>668</v>
      </c>
      <c r="AG22" s="141"/>
      <c r="AH22" s="157"/>
      <c r="AI22" s="144"/>
      <c r="AJ22" s="111"/>
      <c r="AK22" s="111"/>
      <c r="AL22" s="111"/>
      <c r="AM22" s="111"/>
      <c r="AN22" s="111"/>
      <c r="AO22" s="111"/>
      <c r="AP22" s="142"/>
      <c r="AQ22" s="175" t="str">
        <f t="shared" si="1"/>
        <v>DebtNext ---  Collections Integration</v>
      </c>
      <c r="BQ22" s="16"/>
    </row>
    <row r="23" spans="1:69" s="4" customFormat="1" ht="15.4" customHeight="1">
      <c r="A23" s="21" t="s">
        <v>451</v>
      </c>
      <c r="B23" s="21" t="s">
        <v>669</v>
      </c>
      <c r="C23" s="21" t="s">
        <v>152</v>
      </c>
      <c r="D23" s="21" t="s">
        <v>605</v>
      </c>
      <c r="E23" s="161" t="s">
        <v>527</v>
      </c>
      <c r="F23" s="161"/>
      <c r="G23" s="193" t="s">
        <v>670</v>
      </c>
      <c r="H23" s="163" t="s">
        <v>454</v>
      </c>
      <c r="I23" s="168"/>
      <c r="J23" s="173" t="s">
        <v>39</v>
      </c>
      <c r="K23" s="173" t="s">
        <v>39</v>
      </c>
      <c r="L23" s="216" t="s">
        <v>78</v>
      </c>
      <c r="M23" s="209"/>
      <c r="N23" s="259"/>
      <c r="O23" s="259"/>
      <c r="P23" s="259"/>
      <c r="Q23" s="259"/>
      <c r="R23" s="259"/>
      <c r="S23" s="259"/>
      <c r="T23" s="237"/>
      <c r="U23" s="237"/>
      <c r="V23" s="169"/>
      <c r="W23" s="160" t="s">
        <v>627</v>
      </c>
      <c r="X23" s="105"/>
      <c r="Y23" s="106"/>
      <c r="Z23" s="107"/>
      <c r="AA23" s="104"/>
      <c r="AB23" s="140" t="s">
        <v>39</v>
      </c>
      <c r="AC23" s="156"/>
      <c r="AD23" s="143"/>
      <c r="AE23" s="109"/>
      <c r="AF23" s="109"/>
      <c r="AG23" s="141"/>
      <c r="AH23" s="157"/>
      <c r="AI23" s="144"/>
      <c r="AJ23" s="111"/>
      <c r="AK23" s="111"/>
      <c r="AL23" s="111"/>
      <c r="AM23" s="111"/>
      <c r="AN23" s="111"/>
      <c r="AO23" s="111"/>
      <c r="AP23" s="142"/>
      <c r="AQ23" s="175" t="str">
        <f t="shared" si="1"/>
        <v>Lorton ---  NCOA Integration</v>
      </c>
      <c r="BQ23" s="16"/>
    </row>
    <row r="24" spans="1:69" s="4" customFormat="1" ht="44.1" customHeight="1">
      <c r="A24" s="196" t="s">
        <v>90</v>
      </c>
      <c r="B24" s="21" t="s">
        <v>671</v>
      </c>
      <c r="C24" s="21" t="s">
        <v>326</v>
      </c>
      <c r="D24" s="21" t="s">
        <v>605</v>
      </c>
      <c r="E24" s="161" t="s">
        <v>527</v>
      </c>
      <c r="F24" s="161"/>
      <c r="G24" s="194" t="s">
        <v>672</v>
      </c>
      <c r="H24" s="163" t="s">
        <v>673</v>
      </c>
      <c r="I24" s="166"/>
      <c r="J24" s="173" t="s">
        <v>77</v>
      </c>
      <c r="K24" s="173" t="s">
        <v>39</v>
      </c>
      <c r="L24" s="216" t="s">
        <v>78</v>
      </c>
      <c r="M24" s="209"/>
      <c r="N24" s="240" t="s">
        <v>605</v>
      </c>
      <c r="O24" s="240"/>
      <c r="P24" s="240"/>
      <c r="Q24" s="240"/>
      <c r="R24" s="240"/>
      <c r="S24" s="240"/>
      <c r="T24" s="237"/>
      <c r="U24" s="237"/>
      <c r="V24" s="169" t="s">
        <v>674</v>
      </c>
      <c r="W24" s="159" t="s">
        <v>609</v>
      </c>
      <c r="X24" s="104"/>
      <c r="Y24" s="104"/>
      <c r="Z24" s="104"/>
      <c r="AA24" s="104"/>
      <c r="AB24" s="140" t="s">
        <v>78</v>
      </c>
      <c r="AC24" s="156"/>
      <c r="AD24" s="143"/>
      <c r="AE24" s="109"/>
      <c r="AF24" s="109" t="s">
        <v>77</v>
      </c>
      <c r="AG24" s="141"/>
      <c r="AH24" s="157"/>
      <c r="AI24" s="144"/>
      <c r="AJ24" s="111"/>
      <c r="AK24" s="111"/>
      <c r="AL24" s="111"/>
      <c r="AM24" s="111"/>
      <c r="AN24" s="111"/>
      <c r="AO24" s="111"/>
      <c r="AP24" s="142"/>
      <c r="AQ24" s="175" t="str">
        <f t="shared" si="1"/>
        <v>OnCourse Home Solutions (OHS) ---  ASP sales &amp; repair</v>
      </c>
      <c r="AX24" s="203" t="s">
        <v>675</v>
      </c>
      <c r="BQ24" s="16"/>
    </row>
    <row r="25" spans="1:69" s="4" customFormat="1" ht="45.4" customHeight="1">
      <c r="A25" s="21" t="s">
        <v>118</v>
      </c>
      <c r="B25" s="21" t="s">
        <v>119</v>
      </c>
      <c r="C25" s="21" t="s">
        <v>120</v>
      </c>
      <c r="D25" s="21" t="s">
        <v>605</v>
      </c>
      <c r="E25" s="161" t="s">
        <v>527</v>
      </c>
      <c r="F25" s="161"/>
      <c r="G25" s="193" t="s">
        <v>121</v>
      </c>
      <c r="H25" s="162" t="s">
        <v>676</v>
      </c>
      <c r="I25" s="166"/>
      <c r="J25" s="172" t="s">
        <v>39</v>
      </c>
      <c r="K25" s="172" t="s">
        <v>39</v>
      </c>
      <c r="L25" s="217" t="s">
        <v>78</v>
      </c>
      <c r="M25" s="210"/>
      <c r="N25" s="245" t="s">
        <v>605</v>
      </c>
      <c r="O25" s="245"/>
      <c r="P25" s="245"/>
      <c r="Q25" s="245"/>
      <c r="R25" s="245"/>
      <c r="S25" s="245"/>
      <c r="T25" s="239"/>
      <c r="U25" s="239"/>
      <c r="V25" s="169" t="s">
        <v>677</v>
      </c>
      <c r="W25" s="159" t="s">
        <v>609</v>
      </c>
      <c r="X25" s="104"/>
      <c r="Y25" s="104"/>
      <c r="Z25" s="104"/>
      <c r="AA25" s="104"/>
      <c r="AB25" s="140" t="s">
        <v>39</v>
      </c>
      <c r="AC25" s="156"/>
      <c r="AD25" s="143"/>
      <c r="AE25" s="109"/>
      <c r="AF25" s="109"/>
      <c r="AG25" s="141"/>
      <c r="AH25" s="157"/>
      <c r="AI25" s="144"/>
      <c r="AJ25" s="111"/>
      <c r="AK25" s="111"/>
      <c r="AL25" s="111"/>
      <c r="AM25" s="111"/>
      <c r="AN25" s="111"/>
      <c r="AO25" s="111"/>
      <c r="AP25" s="142"/>
      <c r="AQ25" s="175" t="str">
        <f t="shared" si="1"/>
        <v>BillTrust ---  Business eBill</v>
      </c>
      <c r="AR25" s="187"/>
      <c r="AS25" s="187"/>
      <c r="AT25" s="188"/>
      <c r="AU25" s="188"/>
      <c r="AV25" s="187"/>
      <c r="AW25" s="187"/>
      <c r="AX25" s="187"/>
      <c r="BQ25" s="16"/>
    </row>
    <row r="26" spans="1:69" s="4" customFormat="1" ht="15.75" customHeight="1">
      <c r="A26" s="21" t="s">
        <v>175</v>
      </c>
      <c r="B26" s="21" t="s">
        <v>678</v>
      </c>
      <c r="C26" s="21" t="s">
        <v>152</v>
      </c>
      <c r="D26" s="21" t="s">
        <v>605</v>
      </c>
      <c r="E26" s="161" t="s">
        <v>527</v>
      </c>
      <c r="F26" s="161"/>
      <c r="G26" s="193" t="s">
        <v>679</v>
      </c>
      <c r="H26" s="163" t="s">
        <v>177</v>
      </c>
      <c r="I26" s="166"/>
      <c r="J26" s="173" t="s">
        <v>39</v>
      </c>
      <c r="K26" s="173" t="s">
        <v>39</v>
      </c>
      <c r="L26" s="216" t="s">
        <v>78</v>
      </c>
      <c r="M26" s="209"/>
      <c r="N26" s="240" t="s">
        <v>605</v>
      </c>
      <c r="O26" s="240"/>
      <c r="P26" s="240"/>
      <c r="Q26" s="240"/>
      <c r="R26" s="240"/>
      <c r="S26" s="240"/>
      <c r="T26" s="237"/>
      <c r="U26" s="237"/>
      <c r="V26" s="170" t="s">
        <v>680</v>
      </c>
      <c r="W26" s="158" t="s">
        <v>681</v>
      </c>
      <c r="X26" s="104"/>
      <c r="Y26" s="104"/>
      <c r="Z26" s="104"/>
      <c r="AA26" s="104"/>
      <c r="AB26" s="140" t="s">
        <v>39</v>
      </c>
      <c r="AC26" s="156"/>
      <c r="AD26" s="143"/>
      <c r="AE26" s="109"/>
      <c r="AF26" s="109"/>
      <c r="AG26" s="141"/>
      <c r="AH26" s="157"/>
      <c r="AI26" s="144"/>
      <c r="AJ26" s="111"/>
      <c r="AK26" s="111"/>
      <c r="AL26" s="111"/>
      <c r="AM26" s="111"/>
      <c r="AN26" s="111"/>
      <c r="AO26" s="111"/>
      <c r="AP26" s="142"/>
      <c r="AQ26" s="175" t="str">
        <f t="shared" si="1"/>
        <v>Helvey ---  Customer Calling Vendor (dunning) Integration</v>
      </c>
      <c r="BQ26" s="16"/>
    </row>
    <row r="27" spans="1:69" s="4" customFormat="1" ht="15.75" customHeight="1">
      <c r="A27" s="21" t="s">
        <v>186</v>
      </c>
      <c r="B27" s="21" t="s">
        <v>682</v>
      </c>
      <c r="C27" s="21" t="s">
        <v>161</v>
      </c>
      <c r="D27" s="21" t="s">
        <v>605</v>
      </c>
      <c r="E27" s="161" t="s">
        <v>527</v>
      </c>
      <c r="F27" s="161" t="s">
        <v>683</v>
      </c>
      <c r="G27" s="192" t="s">
        <v>659</v>
      </c>
      <c r="H27" s="163" t="s">
        <v>189</v>
      </c>
      <c r="I27" s="166"/>
      <c r="J27" s="173" t="s">
        <v>39</v>
      </c>
      <c r="K27" s="173" t="s">
        <v>39</v>
      </c>
      <c r="L27" s="216" t="s">
        <v>78</v>
      </c>
      <c r="M27" s="209"/>
      <c r="N27" s="240" t="s">
        <v>605</v>
      </c>
      <c r="O27" s="240"/>
      <c r="P27" s="240"/>
      <c r="Q27" s="240"/>
      <c r="R27" s="240"/>
      <c r="S27" s="240"/>
      <c r="T27" s="237"/>
      <c r="U27" s="237"/>
      <c r="V27" s="169" t="s">
        <v>684</v>
      </c>
      <c r="W27" s="159" t="s">
        <v>609</v>
      </c>
      <c r="X27" s="104"/>
      <c r="Y27" s="104"/>
      <c r="Z27" s="104"/>
      <c r="AA27" s="104"/>
      <c r="AB27" s="140" t="s">
        <v>39</v>
      </c>
      <c r="AC27" s="156"/>
      <c r="AD27" s="143"/>
      <c r="AE27" s="109"/>
      <c r="AF27" s="109"/>
      <c r="AG27" s="141"/>
      <c r="AH27" s="157"/>
      <c r="AI27" s="144"/>
      <c r="AJ27" s="111"/>
      <c r="AK27" s="111"/>
      <c r="AL27" s="111"/>
      <c r="AM27" s="111"/>
      <c r="AN27" s="111"/>
      <c r="AO27" s="111"/>
      <c r="AP27" s="142"/>
      <c r="AQ27" s="175" t="str">
        <f t="shared" si="1"/>
        <v>Honeywell ---  Customer Programs Integration</v>
      </c>
    </row>
    <row r="28" spans="1:69" s="4" customFormat="1" ht="15.75" customHeight="1">
      <c r="A28" s="21" t="s">
        <v>164</v>
      </c>
      <c r="B28" s="21" t="s">
        <v>685</v>
      </c>
      <c r="C28" s="21" t="s">
        <v>36</v>
      </c>
      <c r="D28" s="21" t="s">
        <v>605</v>
      </c>
      <c r="E28" s="161" t="s">
        <v>527</v>
      </c>
      <c r="F28" s="161"/>
      <c r="G28" s="193" t="s">
        <v>686</v>
      </c>
      <c r="H28" s="163" t="s">
        <v>167</v>
      </c>
      <c r="I28" s="251" t="s">
        <v>618</v>
      </c>
      <c r="J28" s="173" t="s">
        <v>39</v>
      </c>
      <c r="K28" s="173" t="s">
        <v>39</v>
      </c>
      <c r="L28" s="216" t="s">
        <v>78</v>
      </c>
      <c r="M28" s="209"/>
      <c r="N28" s="240" t="s">
        <v>605</v>
      </c>
      <c r="O28" s="240"/>
      <c r="P28" s="240"/>
      <c r="Q28" s="240"/>
      <c r="R28" s="240"/>
      <c r="S28" s="240"/>
      <c r="T28" s="237"/>
      <c r="U28" s="237"/>
      <c r="V28" s="169" t="s">
        <v>687</v>
      </c>
      <c r="W28" s="159" t="s">
        <v>609</v>
      </c>
      <c r="X28" s="105" t="s">
        <v>610</v>
      </c>
      <c r="Y28" s="106" t="s">
        <v>611</v>
      </c>
      <c r="Z28" s="107">
        <v>46076</v>
      </c>
      <c r="AA28" s="104" t="s">
        <v>612</v>
      </c>
      <c r="AB28" s="140" t="s">
        <v>39</v>
      </c>
      <c r="AC28" s="156"/>
      <c r="AD28" s="143"/>
      <c r="AE28" s="109"/>
      <c r="AF28" s="109"/>
      <c r="AG28" s="141"/>
      <c r="AH28" s="157"/>
      <c r="AI28" s="144"/>
      <c r="AJ28" s="111"/>
      <c r="AK28" s="111"/>
      <c r="AL28" s="111"/>
      <c r="AM28" s="111"/>
      <c r="AN28" s="111"/>
      <c r="AO28" s="111"/>
      <c r="AP28" s="142"/>
      <c r="AQ28" s="175" t="str">
        <f t="shared" si="1"/>
        <v>Riverstar ---  Communication management Integration</v>
      </c>
      <c r="BQ28" s="16"/>
    </row>
    <row r="29" spans="1:69" s="4" customFormat="1" ht="15.75" customHeight="1">
      <c r="A29" s="29" t="s">
        <v>42</v>
      </c>
      <c r="B29" s="21" t="s">
        <v>688</v>
      </c>
      <c r="C29" s="21" t="s">
        <v>36</v>
      </c>
      <c r="D29" s="21" t="s">
        <v>605</v>
      </c>
      <c r="E29" s="161" t="s">
        <v>527</v>
      </c>
      <c r="F29" s="161"/>
      <c r="G29" s="193" t="s">
        <v>689</v>
      </c>
      <c r="H29" s="163" t="s">
        <v>46</v>
      </c>
      <c r="I29" s="167" t="s">
        <v>607</v>
      </c>
      <c r="J29" s="173" t="s">
        <v>39</v>
      </c>
      <c r="K29" s="173" t="s">
        <v>39</v>
      </c>
      <c r="L29" s="264" t="s">
        <v>78</v>
      </c>
      <c r="M29" s="209"/>
      <c r="N29" s="240" t="s">
        <v>605</v>
      </c>
      <c r="O29" s="240"/>
      <c r="P29" s="240"/>
      <c r="Q29" s="240"/>
      <c r="R29" s="240"/>
      <c r="S29" s="240"/>
      <c r="T29" s="237"/>
      <c r="U29" s="237"/>
      <c r="V29" s="169" t="s">
        <v>690</v>
      </c>
      <c r="W29" s="160" t="s">
        <v>627</v>
      </c>
      <c r="X29" s="105" t="s">
        <v>610</v>
      </c>
      <c r="Y29" s="106" t="s">
        <v>611</v>
      </c>
      <c r="Z29" s="107">
        <v>46076</v>
      </c>
      <c r="AA29" s="104" t="s">
        <v>612</v>
      </c>
      <c r="AB29" s="140" t="s">
        <v>39</v>
      </c>
      <c r="AC29" s="156"/>
      <c r="AD29" s="143"/>
      <c r="AE29" s="109"/>
      <c r="AF29" s="109"/>
      <c r="AG29" s="141"/>
      <c r="AH29" s="157"/>
      <c r="AI29" s="144"/>
      <c r="AJ29" s="111"/>
      <c r="AK29" s="111"/>
      <c r="AL29" s="111"/>
      <c r="AM29" s="111"/>
      <c r="AN29" s="111"/>
      <c r="AO29" s="111"/>
      <c r="AP29" s="142"/>
      <c r="AQ29" s="175" t="str">
        <f t="shared" si="1"/>
        <v xml:space="preserve">Harris &amp; Harris ---  3rd Party Contact Center </v>
      </c>
      <c r="AX29"/>
      <c r="BQ29" s="16"/>
    </row>
    <row r="30" spans="1:69" s="4" customFormat="1" ht="15.75" customHeight="1">
      <c r="A30" s="21" t="s">
        <v>343</v>
      </c>
      <c r="B30" s="21" t="s">
        <v>691</v>
      </c>
      <c r="C30" s="21" t="s">
        <v>161</v>
      </c>
      <c r="D30" s="21" t="s">
        <v>605</v>
      </c>
      <c r="E30" s="161" t="s">
        <v>527</v>
      </c>
      <c r="F30" s="161" t="s">
        <v>692</v>
      </c>
      <c r="G30" s="192" t="s">
        <v>693</v>
      </c>
      <c r="H30" s="248" t="s">
        <v>346</v>
      </c>
      <c r="I30" s="166"/>
      <c r="J30" s="172" t="s">
        <v>39</v>
      </c>
      <c r="K30" s="172" t="s">
        <v>39</v>
      </c>
      <c r="L30" s="217" t="s">
        <v>78</v>
      </c>
      <c r="M30" s="210"/>
      <c r="N30" s="245" t="s">
        <v>605</v>
      </c>
      <c r="O30" s="245"/>
      <c r="P30" s="245"/>
      <c r="Q30" s="245"/>
      <c r="R30" s="245"/>
      <c r="S30" s="245"/>
      <c r="T30" s="239"/>
      <c r="U30" s="239"/>
      <c r="V30" s="169"/>
      <c r="W30" s="160" t="s">
        <v>627</v>
      </c>
      <c r="X30" s="104"/>
      <c r="Y30" s="104"/>
      <c r="Z30" s="104"/>
      <c r="AA30" s="104"/>
      <c r="AB30" s="140" t="s">
        <v>39</v>
      </c>
      <c r="AC30" s="156"/>
      <c r="AD30" s="143"/>
      <c r="AE30" s="109"/>
      <c r="AF30" s="109"/>
      <c r="AG30" s="141"/>
      <c r="AH30" s="157"/>
      <c r="AI30" s="144"/>
      <c r="AJ30" s="111"/>
      <c r="AK30" s="111"/>
      <c r="AL30" s="111"/>
      <c r="AM30" s="111"/>
      <c r="AN30" s="111"/>
      <c r="AO30" s="111"/>
      <c r="AP30" s="142"/>
      <c r="AQ30" s="175" t="str">
        <f t="shared" si="1"/>
        <v>ClearResult/Opower ---  Home Energy Analysis (HER) Reporting Integration</v>
      </c>
      <c r="BQ30" s="16"/>
    </row>
    <row r="31" spans="1:69" s="4" customFormat="1" ht="15.75" customHeight="1">
      <c r="A31" s="21" t="s">
        <v>263</v>
      </c>
      <c r="B31" s="21" t="s">
        <v>694</v>
      </c>
      <c r="C31" s="21" t="s">
        <v>161</v>
      </c>
      <c r="D31" s="21" t="s">
        <v>605</v>
      </c>
      <c r="E31" s="161" t="s">
        <v>527</v>
      </c>
      <c r="F31" s="161" t="s">
        <v>695</v>
      </c>
      <c r="G31" s="192" t="s">
        <v>696</v>
      </c>
      <c r="H31" s="163" t="s">
        <v>266</v>
      </c>
      <c r="I31" s="166"/>
      <c r="J31" s="172" t="s">
        <v>39</v>
      </c>
      <c r="K31" s="172" t="s">
        <v>39</v>
      </c>
      <c r="L31" s="217" t="s">
        <v>78</v>
      </c>
      <c r="M31" s="210"/>
      <c r="N31" s="245" t="s">
        <v>605</v>
      </c>
      <c r="O31" s="245"/>
      <c r="P31" s="245"/>
      <c r="Q31" s="245"/>
      <c r="R31" s="245"/>
      <c r="S31" s="245"/>
      <c r="T31" s="239"/>
      <c r="U31" s="239"/>
      <c r="V31" s="169" t="s">
        <v>697</v>
      </c>
      <c r="W31" s="160" t="s">
        <v>627</v>
      </c>
      <c r="X31" s="104"/>
      <c r="Y31" s="104"/>
      <c r="Z31" s="104"/>
      <c r="AA31" s="104"/>
      <c r="AB31" s="140" t="s">
        <v>39</v>
      </c>
      <c r="AC31" s="156"/>
      <c r="AD31" s="143"/>
      <c r="AE31" s="109"/>
      <c r="AF31" s="109"/>
      <c r="AG31" s="141"/>
      <c r="AH31" s="157"/>
      <c r="AI31" s="144"/>
      <c r="AJ31" s="111"/>
      <c r="AK31" s="111"/>
      <c r="AL31" s="111"/>
      <c r="AM31" s="111"/>
      <c r="AN31" s="111"/>
      <c r="AO31" s="111"/>
      <c r="AP31" s="142"/>
      <c r="AQ31" s="175" t="str">
        <f t="shared" si="1"/>
        <v xml:space="preserve">CGI ---  EWR Master Customer Extract </v>
      </c>
      <c r="BQ31" s="16"/>
    </row>
    <row r="32" spans="1:69" s="4" customFormat="1" ht="15.75" customHeight="1">
      <c r="A32" s="21" t="s">
        <v>267</v>
      </c>
      <c r="B32" s="21" t="s">
        <v>268</v>
      </c>
      <c r="C32" s="21" t="s">
        <v>120</v>
      </c>
      <c r="D32" s="21" t="s">
        <v>605</v>
      </c>
      <c r="E32" s="161" t="s">
        <v>527</v>
      </c>
      <c r="F32" s="161"/>
      <c r="G32" s="192" t="s">
        <v>698</v>
      </c>
      <c r="H32" s="261" t="s">
        <v>270</v>
      </c>
      <c r="I32" s="166"/>
      <c r="J32" s="173" t="s">
        <v>39</v>
      </c>
      <c r="K32" s="173" t="s">
        <v>39</v>
      </c>
      <c r="L32" s="264" t="s">
        <v>78</v>
      </c>
      <c r="M32" s="209"/>
      <c r="N32" s="240" t="s">
        <v>605</v>
      </c>
      <c r="O32" s="240"/>
      <c r="P32" s="240"/>
      <c r="Q32" s="240"/>
      <c r="R32" s="240"/>
      <c r="S32" s="240"/>
      <c r="T32" s="237"/>
      <c r="U32" s="237"/>
      <c r="V32" s="169" t="s">
        <v>699</v>
      </c>
      <c r="W32" s="159" t="s">
        <v>609</v>
      </c>
      <c r="X32" s="104"/>
      <c r="Y32" s="104"/>
      <c r="Z32" s="104"/>
      <c r="AA32" s="104"/>
      <c r="AB32" s="140" t="s">
        <v>39</v>
      </c>
      <c r="AC32" s="156"/>
      <c r="AD32" s="143"/>
      <c r="AE32" s="109"/>
      <c r="AF32" s="109"/>
      <c r="AG32" s="141"/>
      <c r="AH32" s="157"/>
      <c r="AI32" s="144"/>
      <c r="AJ32" s="111"/>
      <c r="AK32" s="111"/>
      <c r="AL32" s="111"/>
      <c r="AM32" s="111"/>
      <c r="AN32" s="111"/>
      <c r="AO32" s="111"/>
      <c r="AP32" s="142"/>
      <c r="AQ32" s="175" t="str">
        <f t="shared" si="1"/>
        <v>Equifax ---  FACTA</v>
      </c>
      <c r="BQ32" s="16"/>
    </row>
    <row r="33" spans="1:69" ht="15.75" customHeight="1">
      <c r="A33" s="150"/>
      <c r="B33" s="150"/>
      <c r="C33" s="150"/>
      <c r="D33" s="150"/>
      <c r="E33" s="151"/>
      <c r="F33" s="226"/>
      <c r="G33" s="165"/>
      <c r="H33" s="103"/>
      <c r="I33" s="152"/>
      <c r="J33" s="152"/>
      <c r="K33" s="152"/>
      <c r="L33" s="213"/>
      <c r="M33" s="104"/>
      <c r="N33" s="220"/>
      <c r="O33" s="220"/>
      <c r="P33" s="220"/>
      <c r="Q33" s="220"/>
      <c r="R33" s="220"/>
      <c r="S33" s="220"/>
      <c r="T33" s="220"/>
      <c r="U33" s="220"/>
      <c r="V33" s="220"/>
      <c r="W33" s="104"/>
      <c r="X33" s="104"/>
      <c r="Y33" s="104"/>
      <c r="Z33" s="104"/>
      <c r="AA33" s="104"/>
      <c r="AB33" s="104"/>
      <c r="AC33" s="153"/>
      <c r="AD33" s="109"/>
      <c r="AE33" s="109"/>
      <c r="AF33" s="109"/>
      <c r="AG33" s="109"/>
      <c r="AH33" s="154"/>
      <c r="AI33" s="110"/>
      <c r="AJ33" s="111"/>
      <c r="AK33" s="111"/>
      <c r="AL33" s="111"/>
      <c r="AM33" s="111"/>
      <c r="AN33" s="111"/>
      <c r="AO33" s="111"/>
      <c r="AP33" s="111"/>
      <c r="AQ33" t="str">
        <f t="shared" si="1"/>
        <v xml:space="preserve"> ---  </v>
      </c>
      <c r="BQ33"/>
    </row>
    <row r="34" spans="1:69" ht="15.75" customHeight="1">
      <c r="A34" s="102" t="s">
        <v>293</v>
      </c>
      <c r="B34" s="102" t="s">
        <v>700</v>
      </c>
      <c r="C34" s="102" t="s">
        <v>295</v>
      </c>
      <c r="D34" s="102"/>
      <c r="E34" s="103" t="s">
        <v>527</v>
      </c>
      <c r="F34" s="226"/>
      <c r="G34" s="165" t="s">
        <v>701</v>
      </c>
      <c r="H34" s="103"/>
      <c r="I34" s="91"/>
      <c r="J34" s="91"/>
      <c r="K34" s="91"/>
      <c r="L34" s="140" t="s">
        <v>78</v>
      </c>
      <c r="M34" s="104"/>
      <c r="N34" s="220"/>
      <c r="O34" s="220"/>
      <c r="P34" s="220"/>
      <c r="Q34" s="220"/>
      <c r="R34" s="220"/>
      <c r="S34" s="220"/>
      <c r="T34" s="220"/>
      <c r="U34" s="220"/>
      <c r="V34" s="220"/>
      <c r="W34" s="104"/>
      <c r="X34" s="104"/>
      <c r="Y34" s="104"/>
      <c r="Z34" s="104"/>
      <c r="AA34" s="104"/>
      <c r="AB34" s="104" t="s">
        <v>39</v>
      </c>
      <c r="AC34" s="108"/>
      <c r="AD34" s="109"/>
      <c r="AE34" s="109"/>
      <c r="AF34" s="109" t="s">
        <v>224</v>
      </c>
      <c r="AG34" s="109"/>
      <c r="AH34" s="110"/>
      <c r="AI34" s="110"/>
      <c r="AJ34" s="111"/>
      <c r="AK34" s="111"/>
      <c r="AL34" s="111"/>
      <c r="AM34" s="111"/>
      <c r="AN34" s="111"/>
      <c r="AO34" s="111"/>
      <c r="AP34" s="111"/>
      <c r="AQ34" t="str">
        <f t="shared" si="1"/>
        <v>Ardent Natural Gas ---  GCC Supplier Integration (Not Testing)</v>
      </c>
      <c r="BQ34"/>
    </row>
    <row r="35" spans="1:69" ht="15.75" customHeight="1">
      <c r="A35" s="102" t="s">
        <v>297</v>
      </c>
      <c r="B35" s="102" t="s">
        <v>700</v>
      </c>
      <c r="C35" s="102" t="s">
        <v>295</v>
      </c>
      <c r="D35" s="102"/>
      <c r="E35" s="103" t="s">
        <v>527</v>
      </c>
      <c r="F35" s="226"/>
      <c r="G35" s="165" t="s">
        <v>701</v>
      </c>
      <c r="H35" s="103"/>
      <c r="I35" s="91"/>
      <c r="J35" s="91"/>
      <c r="K35" s="91"/>
      <c r="L35" s="140" t="s">
        <v>78</v>
      </c>
      <c r="M35" s="104"/>
      <c r="N35" s="220"/>
      <c r="O35" s="220"/>
      <c r="P35" s="220"/>
      <c r="Q35" s="220"/>
      <c r="R35" s="220"/>
      <c r="S35" s="220"/>
      <c r="T35" s="220"/>
      <c r="U35" s="220"/>
      <c r="V35" s="220"/>
      <c r="W35" s="104"/>
      <c r="X35" s="104"/>
      <c r="Y35" s="104"/>
      <c r="Z35" s="104"/>
      <c r="AA35" s="104"/>
      <c r="AB35" s="104" t="s">
        <v>39</v>
      </c>
      <c r="AC35" s="108"/>
      <c r="AD35" s="109"/>
      <c r="AE35" s="109"/>
      <c r="AF35" s="109" t="s">
        <v>224</v>
      </c>
      <c r="AG35" s="109"/>
      <c r="AH35" s="110"/>
      <c r="AI35" s="110"/>
      <c r="AJ35" s="111"/>
      <c r="AK35" s="111"/>
      <c r="AL35" s="111"/>
      <c r="AM35" s="111"/>
      <c r="AN35" s="111"/>
      <c r="AO35" s="111"/>
      <c r="AP35" s="111"/>
      <c r="AQ35" t="str">
        <f t="shared" si="1"/>
        <v>Bishop Energy Services ---  GCC Supplier Integration (Not Testing)</v>
      </c>
      <c r="BQ35"/>
    </row>
    <row r="36" spans="1:69" ht="15.75" customHeight="1">
      <c r="A36" s="102" t="s">
        <v>298</v>
      </c>
      <c r="B36" s="102" t="s">
        <v>700</v>
      </c>
      <c r="C36" s="102" t="s">
        <v>295</v>
      </c>
      <c r="D36" s="102"/>
      <c r="E36" s="103" t="s">
        <v>527</v>
      </c>
      <c r="F36" s="226"/>
      <c r="G36" s="165" t="s">
        <v>701</v>
      </c>
      <c r="H36" s="103" t="s">
        <v>299</v>
      </c>
      <c r="I36" s="91"/>
      <c r="J36" s="91"/>
      <c r="K36" s="91"/>
      <c r="L36" s="140" t="s">
        <v>78</v>
      </c>
      <c r="M36" s="104"/>
      <c r="N36" s="220"/>
      <c r="O36" s="220"/>
      <c r="P36" s="220"/>
      <c r="Q36" s="220"/>
      <c r="R36" s="220"/>
      <c r="S36" s="220"/>
      <c r="T36" s="220"/>
      <c r="U36" s="220"/>
      <c r="V36" s="220"/>
      <c r="W36" s="104"/>
      <c r="X36" s="104"/>
      <c r="Y36" s="104"/>
      <c r="Z36" s="104"/>
      <c r="AA36" s="104"/>
      <c r="AB36" s="104" t="s">
        <v>39</v>
      </c>
      <c r="AC36" s="108"/>
      <c r="AD36" s="109"/>
      <c r="AE36" s="109"/>
      <c r="AF36" s="109" t="s">
        <v>224</v>
      </c>
      <c r="AG36" s="109"/>
      <c r="AH36" s="110"/>
      <c r="AI36" s="110"/>
      <c r="AJ36" s="111"/>
      <c r="AK36" s="111"/>
      <c r="AL36" s="111"/>
      <c r="AM36" s="111"/>
      <c r="AN36" s="111"/>
      <c r="AO36" s="111"/>
      <c r="AP36" s="111"/>
      <c r="AQ36" t="str">
        <f t="shared" ref="AQ36:AQ65" si="2">_xlfn.CONCAT(A36," ---  ",B36)</f>
        <v>CleanSky Energy ---  GCC Supplier Integration (Not Testing)</v>
      </c>
      <c r="BQ36"/>
    </row>
    <row r="37" spans="1:69" ht="15.75" customHeight="1">
      <c r="A37" s="102" t="s">
        <v>300</v>
      </c>
      <c r="B37" s="102" t="s">
        <v>700</v>
      </c>
      <c r="C37" s="102" t="s">
        <v>295</v>
      </c>
      <c r="D37" s="102"/>
      <c r="E37" s="103" t="s">
        <v>527</v>
      </c>
      <c r="F37" s="226"/>
      <c r="G37" s="165" t="s">
        <v>701</v>
      </c>
      <c r="H37" s="103" t="s">
        <v>299</v>
      </c>
      <c r="I37" s="91"/>
      <c r="J37" s="91"/>
      <c r="K37" s="91"/>
      <c r="L37" s="140" t="s">
        <v>78</v>
      </c>
      <c r="M37" s="104"/>
      <c r="N37" s="220"/>
      <c r="O37" s="220"/>
      <c r="P37" s="220"/>
      <c r="Q37" s="220"/>
      <c r="R37" s="220"/>
      <c r="S37" s="220"/>
      <c r="T37" s="220"/>
      <c r="U37" s="220"/>
      <c r="V37" s="220"/>
      <c r="W37" s="104"/>
      <c r="X37" s="104"/>
      <c r="Y37" s="104"/>
      <c r="Z37" s="104"/>
      <c r="AA37" s="104"/>
      <c r="AB37" s="104" t="s">
        <v>39</v>
      </c>
      <c r="AC37" s="108"/>
      <c r="AD37" s="109"/>
      <c r="AE37" s="109"/>
      <c r="AF37" s="109" t="s">
        <v>224</v>
      </c>
      <c r="AG37" s="109"/>
      <c r="AH37" s="110"/>
      <c r="AI37" s="110"/>
      <c r="AJ37" s="111"/>
      <c r="AK37" s="111"/>
      <c r="AL37" s="111"/>
      <c r="AM37" s="111"/>
      <c r="AN37" s="111"/>
      <c r="AO37" s="111"/>
      <c r="AP37" s="111"/>
      <c r="AQ37" t="str">
        <f t="shared" si="2"/>
        <v>Dillon Energy Services ---  GCC Supplier Integration (Not Testing)</v>
      </c>
      <c r="BQ37"/>
    </row>
    <row r="38" spans="1:69" ht="15.75" customHeight="1">
      <c r="A38" s="102" t="s">
        <v>301</v>
      </c>
      <c r="B38" s="102" t="s">
        <v>700</v>
      </c>
      <c r="C38" s="102" t="s">
        <v>295</v>
      </c>
      <c r="D38" s="102"/>
      <c r="E38" s="103" t="s">
        <v>527</v>
      </c>
      <c r="F38" s="226"/>
      <c r="G38" s="165" t="s">
        <v>701</v>
      </c>
      <c r="H38" s="103" t="s">
        <v>299</v>
      </c>
      <c r="I38" s="91"/>
      <c r="J38" s="91"/>
      <c r="K38" s="91"/>
      <c r="L38" s="140" t="s">
        <v>78</v>
      </c>
      <c r="M38" s="104"/>
      <c r="N38" s="220"/>
      <c r="O38" s="220"/>
      <c r="P38" s="220"/>
      <c r="Q38" s="220"/>
      <c r="R38" s="220"/>
      <c r="S38" s="220"/>
      <c r="T38" s="220"/>
      <c r="U38" s="220"/>
      <c r="V38" s="220"/>
      <c r="W38" s="104"/>
      <c r="X38" s="104"/>
      <c r="Y38" s="104"/>
      <c r="Z38" s="104"/>
      <c r="AA38" s="104"/>
      <c r="AB38" s="104" t="s">
        <v>39</v>
      </c>
      <c r="AC38" s="108"/>
      <c r="AD38" s="109"/>
      <c r="AE38" s="109"/>
      <c r="AF38" s="109" t="s">
        <v>224</v>
      </c>
      <c r="AG38" s="109"/>
      <c r="AH38" s="110"/>
      <c r="AI38" s="110"/>
      <c r="AJ38" s="111"/>
      <c r="AK38" s="111"/>
      <c r="AL38" s="111"/>
      <c r="AM38" s="111"/>
      <c r="AN38" s="111"/>
      <c r="AO38" s="111"/>
      <c r="AP38" s="111"/>
      <c r="AQ38" t="str">
        <f t="shared" si="2"/>
        <v>Direct Energy Services ---  GCC Supplier Integration (Not Testing)</v>
      </c>
      <c r="BQ38"/>
    </row>
    <row r="39" spans="1:69" ht="15.75" customHeight="1">
      <c r="A39" s="102" t="s">
        <v>302</v>
      </c>
      <c r="B39" s="102" t="s">
        <v>700</v>
      </c>
      <c r="C39" s="102" t="s">
        <v>295</v>
      </c>
      <c r="D39" s="102"/>
      <c r="E39" s="103" t="s">
        <v>527</v>
      </c>
      <c r="F39" s="226"/>
      <c r="G39" s="165" t="s">
        <v>701</v>
      </c>
      <c r="H39" s="103" t="s">
        <v>299</v>
      </c>
      <c r="I39" s="91"/>
      <c r="J39" s="91"/>
      <c r="K39" s="91"/>
      <c r="L39" s="140" t="s">
        <v>78</v>
      </c>
      <c r="M39" s="104"/>
      <c r="N39" s="220"/>
      <c r="O39" s="220"/>
      <c r="P39" s="220"/>
      <c r="Q39" s="220"/>
      <c r="R39" s="220"/>
      <c r="S39" s="220"/>
      <c r="T39" s="220"/>
      <c r="U39" s="220"/>
      <c r="V39" s="220"/>
      <c r="W39" s="104"/>
      <c r="X39" s="104"/>
      <c r="Y39" s="104"/>
      <c r="Z39" s="104"/>
      <c r="AA39" s="104"/>
      <c r="AB39" s="104" t="s">
        <v>39</v>
      </c>
      <c r="AC39" s="108"/>
      <c r="AD39" s="109"/>
      <c r="AE39" s="109"/>
      <c r="AF39" s="109" t="s">
        <v>224</v>
      </c>
      <c r="AG39" s="109"/>
      <c r="AH39" s="110"/>
      <c r="AI39" s="110"/>
      <c r="AJ39" s="111"/>
      <c r="AK39" s="111"/>
      <c r="AL39" s="111"/>
      <c r="AM39" s="111"/>
      <c r="AN39" s="111"/>
      <c r="AO39" s="111"/>
      <c r="AP39" s="111"/>
      <c r="AQ39" t="str">
        <f t="shared" si="2"/>
        <v>ELIGO ENERGY MI LLC ---  GCC Supplier Integration (Not Testing)</v>
      </c>
      <c r="BQ39"/>
    </row>
    <row r="40" spans="1:69" ht="15.75" customHeight="1">
      <c r="A40" s="102" t="s">
        <v>303</v>
      </c>
      <c r="B40" s="102" t="s">
        <v>700</v>
      </c>
      <c r="C40" s="102" t="s">
        <v>295</v>
      </c>
      <c r="D40" s="102"/>
      <c r="E40" s="103" t="s">
        <v>527</v>
      </c>
      <c r="F40" s="226"/>
      <c r="G40" s="165" t="s">
        <v>701</v>
      </c>
      <c r="H40" s="103" t="s">
        <v>299</v>
      </c>
      <c r="I40" s="91"/>
      <c r="J40" s="91"/>
      <c r="K40" s="91"/>
      <c r="L40" s="140" t="s">
        <v>78</v>
      </c>
      <c r="M40" s="104"/>
      <c r="N40" s="220"/>
      <c r="O40" s="220"/>
      <c r="P40" s="220"/>
      <c r="Q40" s="220"/>
      <c r="R40" s="220"/>
      <c r="S40" s="220"/>
      <c r="T40" s="220"/>
      <c r="U40" s="220"/>
      <c r="V40" s="220"/>
      <c r="W40" s="104"/>
      <c r="X40" s="104"/>
      <c r="Y40" s="104"/>
      <c r="Z40" s="104"/>
      <c r="AA40" s="104"/>
      <c r="AB40" s="104" t="s">
        <v>39</v>
      </c>
      <c r="AC40" s="108"/>
      <c r="AD40" s="109"/>
      <c r="AE40" s="109"/>
      <c r="AF40" s="109" t="s">
        <v>224</v>
      </c>
      <c r="AG40" s="109"/>
      <c r="AH40" s="110"/>
      <c r="AI40" s="110"/>
      <c r="AJ40" s="111"/>
      <c r="AK40" s="111"/>
      <c r="AL40" s="111"/>
      <c r="AM40" s="111"/>
      <c r="AN40" s="111"/>
      <c r="AO40" s="111"/>
      <c r="AP40" s="111"/>
      <c r="AQ40" t="str">
        <f t="shared" si="2"/>
        <v>Grand Rapids Energy ---  GCC Supplier Integration (Not Testing)</v>
      </c>
      <c r="BQ40"/>
    </row>
    <row r="41" spans="1:69" ht="15.75" customHeight="1">
      <c r="A41" s="102" t="s">
        <v>304</v>
      </c>
      <c r="B41" s="102" t="s">
        <v>700</v>
      </c>
      <c r="C41" s="102" t="s">
        <v>295</v>
      </c>
      <c r="D41" s="102"/>
      <c r="E41" s="103" t="s">
        <v>527</v>
      </c>
      <c r="F41" s="226"/>
      <c r="G41" s="165" t="s">
        <v>701</v>
      </c>
      <c r="H41" s="103" t="s">
        <v>299</v>
      </c>
      <c r="I41" s="91"/>
      <c r="J41" s="91"/>
      <c r="K41" s="91"/>
      <c r="L41" s="140" t="s">
        <v>78</v>
      </c>
      <c r="M41" s="104"/>
      <c r="N41" s="220"/>
      <c r="O41" s="220"/>
      <c r="P41" s="220"/>
      <c r="Q41" s="220"/>
      <c r="R41" s="220"/>
      <c r="S41" s="220"/>
      <c r="T41" s="220"/>
      <c r="U41" s="220"/>
      <c r="V41" s="220"/>
      <c r="W41" s="104"/>
      <c r="X41" s="104"/>
      <c r="Y41" s="104"/>
      <c r="Z41" s="104"/>
      <c r="AA41" s="104"/>
      <c r="AB41" s="104" t="s">
        <v>39</v>
      </c>
      <c r="AC41" s="108"/>
      <c r="AD41" s="109"/>
      <c r="AE41" s="109"/>
      <c r="AF41" s="109" t="s">
        <v>224</v>
      </c>
      <c r="AG41" s="109"/>
      <c r="AH41" s="110"/>
      <c r="AI41" s="110"/>
      <c r="AJ41" s="111"/>
      <c r="AK41" s="111"/>
      <c r="AL41" s="111"/>
      <c r="AM41" s="111"/>
      <c r="AN41" s="111"/>
      <c r="AO41" s="111"/>
      <c r="AP41" s="111"/>
      <c r="AQ41" t="str">
        <f t="shared" si="2"/>
        <v>Green Choice Energy ---  GCC Supplier Integration (Not Testing)</v>
      </c>
      <c r="BQ41"/>
    </row>
    <row r="42" spans="1:69" ht="15.75" customHeight="1">
      <c r="A42" s="102" t="s">
        <v>305</v>
      </c>
      <c r="B42" s="102" t="s">
        <v>700</v>
      </c>
      <c r="C42" s="102" t="s">
        <v>295</v>
      </c>
      <c r="D42" s="102"/>
      <c r="E42" s="103" t="s">
        <v>527</v>
      </c>
      <c r="F42" s="226"/>
      <c r="G42" s="165" t="s">
        <v>701</v>
      </c>
      <c r="H42" s="103" t="s">
        <v>299</v>
      </c>
      <c r="I42" s="91"/>
      <c r="J42" s="91"/>
      <c r="K42" s="91"/>
      <c r="L42" s="140" t="s">
        <v>78</v>
      </c>
      <c r="M42" s="104"/>
      <c r="N42" s="220"/>
      <c r="O42" s="220"/>
      <c r="P42" s="220"/>
      <c r="Q42" s="220"/>
      <c r="R42" s="220"/>
      <c r="S42" s="220"/>
      <c r="T42" s="220"/>
      <c r="U42" s="220"/>
      <c r="V42" s="220"/>
      <c r="W42" s="104"/>
      <c r="X42" s="104"/>
      <c r="Y42" s="104"/>
      <c r="Z42" s="104"/>
      <c r="AA42" s="104"/>
      <c r="AB42" s="104" t="s">
        <v>39</v>
      </c>
      <c r="AC42" s="108"/>
      <c r="AD42" s="109"/>
      <c r="AE42" s="109"/>
      <c r="AF42" s="109" t="s">
        <v>224</v>
      </c>
      <c r="AG42" s="109"/>
      <c r="AH42" s="110"/>
      <c r="AI42" s="110"/>
      <c r="AJ42" s="111"/>
      <c r="AK42" s="111"/>
      <c r="AL42" s="111"/>
      <c r="AM42" s="111"/>
      <c r="AN42" s="111"/>
      <c r="AO42" s="111"/>
      <c r="AP42" s="111"/>
      <c r="AQ42" t="str">
        <f t="shared" si="2"/>
        <v>Greenlight Energy Inc ---  GCC Supplier Integration (Not Testing)</v>
      </c>
      <c r="BQ42"/>
    </row>
    <row r="43" spans="1:69" ht="15.75" customHeight="1">
      <c r="A43" s="102" t="s">
        <v>306</v>
      </c>
      <c r="B43" s="102" t="s">
        <v>700</v>
      </c>
      <c r="C43" s="102" t="s">
        <v>295</v>
      </c>
      <c r="D43" s="102"/>
      <c r="E43" s="103" t="s">
        <v>527</v>
      </c>
      <c r="F43" s="226"/>
      <c r="G43" s="165" t="s">
        <v>701</v>
      </c>
      <c r="H43" s="103" t="s">
        <v>299</v>
      </c>
      <c r="I43" s="91"/>
      <c r="J43" s="91"/>
      <c r="K43" s="91"/>
      <c r="L43" s="140" t="s">
        <v>78</v>
      </c>
      <c r="M43" s="104"/>
      <c r="N43" s="220"/>
      <c r="O43" s="220"/>
      <c r="P43" s="220"/>
      <c r="Q43" s="220"/>
      <c r="R43" s="220"/>
      <c r="S43" s="220"/>
      <c r="T43" s="220"/>
      <c r="U43" s="220"/>
      <c r="V43" s="220"/>
      <c r="W43" s="104"/>
      <c r="X43" s="104"/>
      <c r="Y43" s="104"/>
      <c r="Z43" s="104"/>
      <c r="AA43" s="104"/>
      <c r="AB43" s="104" t="s">
        <v>39</v>
      </c>
      <c r="AC43" s="108"/>
      <c r="AD43" s="109"/>
      <c r="AE43" s="109"/>
      <c r="AF43" s="109" t="s">
        <v>224</v>
      </c>
      <c r="AG43" s="109"/>
      <c r="AH43" s="110"/>
      <c r="AI43" s="110"/>
      <c r="AJ43" s="111"/>
      <c r="AK43" s="111"/>
      <c r="AL43" s="111"/>
      <c r="AM43" s="111"/>
      <c r="AN43" s="111"/>
      <c r="AO43" s="111"/>
      <c r="AP43" s="111"/>
      <c r="AQ43" t="str">
        <f t="shared" si="2"/>
        <v>IGS Energy (Interstate Gas Supply) ---  GCC Supplier Integration (Not Testing)</v>
      </c>
      <c r="BQ43"/>
    </row>
    <row r="44" spans="1:69" ht="15.75" customHeight="1">
      <c r="A44" s="102" t="s">
        <v>307</v>
      </c>
      <c r="B44" s="102" t="s">
        <v>700</v>
      </c>
      <c r="C44" s="102" t="s">
        <v>295</v>
      </c>
      <c r="D44" s="102"/>
      <c r="E44" s="103" t="s">
        <v>527</v>
      </c>
      <c r="F44" s="226"/>
      <c r="G44" s="165" t="s">
        <v>701</v>
      </c>
      <c r="H44" s="103" t="s">
        <v>299</v>
      </c>
      <c r="I44" s="91"/>
      <c r="J44" s="91"/>
      <c r="K44" s="91"/>
      <c r="L44" s="140" t="s">
        <v>78</v>
      </c>
      <c r="M44" s="104"/>
      <c r="N44" s="220"/>
      <c r="O44" s="220"/>
      <c r="P44" s="220"/>
      <c r="Q44" s="220"/>
      <c r="R44" s="220"/>
      <c r="S44" s="220"/>
      <c r="T44" s="220"/>
      <c r="U44" s="220"/>
      <c r="V44" s="220"/>
      <c r="W44" s="104"/>
      <c r="X44" s="104"/>
      <c r="Y44" s="104"/>
      <c r="Z44" s="104"/>
      <c r="AA44" s="104"/>
      <c r="AB44" s="104" t="s">
        <v>39</v>
      </c>
      <c r="AC44" s="108"/>
      <c r="AD44" s="109"/>
      <c r="AE44" s="109"/>
      <c r="AF44" s="109" t="s">
        <v>224</v>
      </c>
      <c r="AG44" s="109"/>
      <c r="AH44" s="110"/>
      <c r="AI44" s="110"/>
      <c r="AJ44" s="111"/>
      <c r="AK44" s="111"/>
      <c r="AL44" s="111"/>
      <c r="AM44" s="111"/>
      <c r="AN44" s="111"/>
      <c r="AO44" s="111"/>
      <c r="AP44" s="111"/>
      <c r="AQ44" t="str">
        <f t="shared" si="2"/>
        <v>INDRA ENERGY ---  GCC Supplier Integration (Not Testing)</v>
      </c>
      <c r="BQ44"/>
    </row>
    <row r="45" spans="1:69" ht="15.75" customHeight="1">
      <c r="A45" s="102" t="s">
        <v>308</v>
      </c>
      <c r="B45" s="102" t="s">
        <v>700</v>
      </c>
      <c r="C45" s="102" t="s">
        <v>295</v>
      </c>
      <c r="D45" s="102"/>
      <c r="E45" s="103" t="s">
        <v>527</v>
      </c>
      <c r="F45" s="226"/>
      <c r="G45" s="165" t="s">
        <v>701</v>
      </c>
      <c r="H45" s="103" t="s">
        <v>299</v>
      </c>
      <c r="I45" s="91"/>
      <c r="J45" s="91"/>
      <c r="K45" s="91"/>
      <c r="L45" s="140" t="s">
        <v>78</v>
      </c>
      <c r="M45" s="104"/>
      <c r="N45" s="220"/>
      <c r="O45" s="220"/>
      <c r="P45" s="220"/>
      <c r="Q45" s="220"/>
      <c r="R45" s="220"/>
      <c r="S45" s="220"/>
      <c r="T45" s="220"/>
      <c r="U45" s="220"/>
      <c r="V45" s="220"/>
      <c r="W45" s="104"/>
      <c r="X45" s="104"/>
      <c r="Y45" s="104"/>
      <c r="Z45" s="104"/>
      <c r="AA45" s="104"/>
      <c r="AB45" s="104" t="s">
        <v>39</v>
      </c>
      <c r="AC45" s="108"/>
      <c r="AD45" s="109"/>
      <c r="AE45" s="109"/>
      <c r="AF45" s="109" t="s">
        <v>224</v>
      </c>
      <c r="AG45" s="109"/>
      <c r="AH45" s="110"/>
      <c r="AI45" s="110"/>
      <c r="AJ45" s="111"/>
      <c r="AK45" s="111"/>
      <c r="AL45" s="111"/>
      <c r="AM45" s="111"/>
      <c r="AN45" s="111"/>
      <c r="AO45" s="111"/>
      <c r="AP45" s="111"/>
      <c r="AQ45" t="str">
        <f t="shared" si="2"/>
        <v>Just Energy ---  GCC Supplier Integration (Not Testing)</v>
      </c>
      <c r="BQ45"/>
    </row>
    <row r="46" spans="1:69" ht="15.75" customHeight="1">
      <c r="A46" s="102" t="s">
        <v>309</v>
      </c>
      <c r="B46" s="102" t="s">
        <v>700</v>
      </c>
      <c r="C46" s="102" t="s">
        <v>295</v>
      </c>
      <c r="D46" s="102"/>
      <c r="E46" s="103" t="s">
        <v>527</v>
      </c>
      <c r="F46" s="226"/>
      <c r="G46" s="165" t="s">
        <v>701</v>
      </c>
      <c r="H46" s="103" t="s">
        <v>299</v>
      </c>
      <c r="I46" s="91"/>
      <c r="J46" s="91"/>
      <c r="K46" s="91"/>
      <c r="L46" s="140" t="s">
        <v>78</v>
      </c>
      <c r="M46" s="104"/>
      <c r="N46" s="220"/>
      <c r="O46" s="220"/>
      <c r="P46" s="220"/>
      <c r="Q46" s="220"/>
      <c r="R46" s="220"/>
      <c r="S46" s="220"/>
      <c r="T46" s="220"/>
      <c r="U46" s="220"/>
      <c r="V46" s="220"/>
      <c r="W46" s="104"/>
      <c r="X46" s="104"/>
      <c r="Y46" s="104"/>
      <c r="Z46" s="104"/>
      <c r="AA46" s="104"/>
      <c r="AB46" s="104" t="s">
        <v>39</v>
      </c>
      <c r="AC46" s="108"/>
      <c r="AD46" s="109"/>
      <c r="AE46" s="109"/>
      <c r="AF46" s="109" t="s">
        <v>224</v>
      </c>
      <c r="AG46" s="109"/>
      <c r="AH46" s="110"/>
      <c r="AI46" s="110"/>
      <c r="AJ46" s="111"/>
      <c r="AK46" s="111"/>
      <c r="AL46" s="111"/>
      <c r="AM46" s="111"/>
      <c r="AN46" s="111"/>
      <c r="AO46" s="111"/>
      <c r="AP46" s="111"/>
      <c r="AQ46" t="str">
        <f t="shared" si="2"/>
        <v>Kratos Gas &amp; Power ---  GCC Supplier Integration (Not Testing)</v>
      </c>
      <c r="BQ46"/>
    </row>
    <row r="47" spans="1:69" ht="15.75" customHeight="1">
      <c r="A47" s="102" t="s">
        <v>310</v>
      </c>
      <c r="B47" s="102" t="s">
        <v>700</v>
      </c>
      <c r="C47" s="102" t="s">
        <v>295</v>
      </c>
      <c r="D47" s="102"/>
      <c r="E47" s="103" t="s">
        <v>527</v>
      </c>
      <c r="F47" s="226"/>
      <c r="G47" s="165" t="s">
        <v>701</v>
      </c>
      <c r="H47" s="103" t="s">
        <v>299</v>
      </c>
      <c r="I47" s="91"/>
      <c r="J47" s="91"/>
      <c r="K47" s="91"/>
      <c r="L47" s="140" t="s">
        <v>78</v>
      </c>
      <c r="M47" s="104"/>
      <c r="N47" s="220"/>
      <c r="O47" s="220"/>
      <c r="P47" s="220"/>
      <c r="Q47" s="220"/>
      <c r="R47" s="220"/>
      <c r="S47" s="220"/>
      <c r="T47" s="220"/>
      <c r="U47" s="220"/>
      <c r="V47" s="220"/>
      <c r="W47" s="104"/>
      <c r="X47" s="104"/>
      <c r="Y47" s="104"/>
      <c r="Z47" s="104"/>
      <c r="AA47" s="104"/>
      <c r="AB47" s="104" t="s">
        <v>39</v>
      </c>
      <c r="AC47" s="108"/>
      <c r="AD47" s="109"/>
      <c r="AE47" s="109"/>
      <c r="AF47" s="109" t="s">
        <v>224</v>
      </c>
      <c r="AG47" s="109"/>
      <c r="AH47" s="110"/>
      <c r="AI47" s="110"/>
      <c r="AJ47" s="111"/>
      <c r="AK47" s="111"/>
      <c r="AL47" s="111"/>
      <c r="AM47" s="111"/>
      <c r="AN47" s="111"/>
      <c r="AO47" s="111"/>
      <c r="AP47" s="111"/>
      <c r="AQ47" t="str">
        <f t="shared" si="2"/>
        <v>Median Energy Corp ---  GCC Supplier Integration (Not Testing)</v>
      </c>
      <c r="BQ47"/>
    </row>
    <row r="48" spans="1:69" ht="15.75" customHeight="1">
      <c r="A48" s="102" t="s">
        <v>311</v>
      </c>
      <c r="B48" s="102" t="s">
        <v>700</v>
      </c>
      <c r="C48" s="102" t="s">
        <v>295</v>
      </c>
      <c r="D48" s="102"/>
      <c r="E48" s="103" t="s">
        <v>527</v>
      </c>
      <c r="F48" s="226"/>
      <c r="G48" s="165" t="s">
        <v>701</v>
      </c>
      <c r="H48" s="103" t="s">
        <v>299</v>
      </c>
      <c r="I48" s="91"/>
      <c r="J48" s="91"/>
      <c r="K48" s="91"/>
      <c r="L48" s="140" t="s">
        <v>78</v>
      </c>
      <c r="M48" s="104"/>
      <c r="N48" s="220"/>
      <c r="O48" s="220"/>
      <c r="P48" s="220"/>
      <c r="Q48" s="220"/>
      <c r="R48" s="220"/>
      <c r="S48" s="220"/>
      <c r="T48" s="220"/>
      <c r="U48" s="220"/>
      <c r="V48" s="220"/>
      <c r="W48" s="104"/>
      <c r="X48" s="104"/>
      <c r="Y48" s="104"/>
      <c r="Z48" s="104"/>
      <c r="AA48" s="104"/>
      <c r="AB48" s="104" t="s">
        <v>39</v>
      </c>
      <c r="AC48" s="108"/>
      <c r="AD48" s="109"/>
      <c r="AE48" s="109"/>
      <c r="AF48" s="109" t="s">
        <v>224</v>
      </c>
      <c r="AG48" s="109"/>
      <c r="AH48" s="110"/>
      <c r="AI48" s="110"/>
      <c r="AJ48" s="111"/>
      <c r="AK48" s="111"/>
      <c r="AL48" s="111"/>
      <c r="AM48" s="111"/>
      <c r="AN48" s="111"/>
      <c r="AO48" s="111"/>
      <c r="AP48" s="111"/>
      <c r="AQ48" t="str">
        <f t="shared" si="2"/>
        <v>Michigan Gas &amp; Electric ---  GCC Supplier Integration (Not Testing)</v>
      </c>
      <c r="BQ48"/>
    </row>
    <row r="49" spans="1:69" ht="15.75" customHeight="1">
      <c r="A49" s="102" t="s">
        <v>312</v>
      </c>
      <c r="B49" s="102" t="s">
        <v>700</v>
      </c>
      <c r="C49" s="102" t="s">
        <v>295</v>
      </c>
      <c r="D49" s="102"/>
      <c r="E49" s="103" t="s">
        <v>527</v>
      </c>
      <c r="F49" s="226"/>
      <c r="G49" s="165" t="s">
        <v>701</v>
      </c>
      <c r="H49" s="103" t="s">
        <v>299</v>
      </c>
      <c r="I49" s="91"/>
      <c r="J49" s="91"/>
      <c r="K49" s="91"/>
      <c r="L49" s="140" t="s">
        <v>78</v>
      </c>
      <c r="M49" s="104"/>
      <c r="N49" s="220"/>
      <c r="O49" s="220"/>
      <c r="P49" s="220"/>
      <c r="Q49" s="220"/>
      <c r="R49" s="220"/>
      <c r="S49" s="220"/>
      <c r="T49" s="220"/>
      <c r="U49" s="220"/>
      <c r="V49" s="220"/>
      <c r="W49" s="104"/>
      <c r="X49" s="104"/>
      <c r="Y49" s="104"/>
      <c r="Z49" s="104"/>
      <c r="AA49" s="104"/>
      <c r="AB49" s="104" t="s">
        <v>39</v>
      </c>
      <c r="AC49" s="108"/>
      <c r="AD49" s="109"/>
      <c r="AE49" s="109"/>
      <c r="AF49" s="109" t="s">
        <v>224</v>
      </c>
      <c r="AG49" s="109"/>
      <c r="AH49" s="110"/>
      <c r="AI49" s="110"/>
      <c r="AJ49" s="111"/>
      <c r="AK49" s="111"/>
      <c r="AL49" s="111"/>
      <c r="AM49" s="111"/>
      <c r="AN49" s="111"/>
      <c r="AO49" s="111"/>
      <c r="AP49" s="111"/>
      <c r="AQ49" t="str">
        <f t="shared" si="2"/>
        <v>Michigan Natural Gas ---  GCC Supplier Integration (Not Testing)</v>
      </c>
      <c r="BQ49"/>
    </row>
    <row r="50" spans="1:69" ht="15.75" customHeight="1">
      <c r="A50" s="102" t="s">
        <v>313</v>
      </c>
      <c r="B50" s="102" t="s">
        <v>700</v>
      </c>
      <c r="C50" s="102" t="s">
        <v>295</v>
      </c>
      <c r="D50" s="102"/>
      <c r="E50" s="103" t="s">
        <v>527</v>
      </c>
      <c r="F50" s="226"/>
      <c r="G50" s="165" t="s">
        <v>701</v>
      </c>
      <c r="H50" s="103" t="s">
        <v>299</v>
      </c>
      <c r="I50" s="91"/>
      <c r="J50" s="91"/>
      <c r="K50" s="91"/>
      <c r="L50" s="140" t="s">
        <v>78</v>
      </c>
      <c r="M50" s="104"/>
      <c r="N50" s="220"/>
      <c r="O50" s="220"/>
      <c r="P50" s="220"/>
      <c r="Q50" s="220"/>
      <c r="R50" s="220"/>
      <c r="S50" s="220"/>
      <c r="T50" s="220"/>
      <c r="U50" s="220"/>
      <c r="V50" s="220"/>
      <c r="W50" s="104"/>
      <c r="X50" s="104"/>
      <c r="Y50" s="104"/>
      <c r="Z50" s="104"/>
      <c r="AA50" s="104"/>
      <c r="AB50" s="104" t="s">
        <v>39</v>
      </c>
      <c r="AC50" s="108"/>
      <c r="AD50" s="109"/>
      <c r="AE50" s="109"/>
      <c r="AF50" s="109" t="s">
        <v>224</v>
      </c>
      <c r="AG50" s="109"/>
      <c r="AH50" s="110"/>
      <c r="AI50" s="110"/>
      <c r="AJ50" s="111"/>
      <c r="AK50" s="111"/>
      <c r="AL50" s="111"/>
      <c r="AM50" s="111"/>
      <c r="AN50" s="111"/>
      <c r="AO50" s="111"/>
      <c r="AP50" s="111"/>
      <c r="AQ50" t="str">
        <f t="shared" si="2"/>
        <v>My Choice Energy ---  GCC Supplier Integration (Not Testing)</v>
      </c>
      <c r="BQ50"/>
    </row>
    <row r="51" spans="1:69" ht="15.75" customHeight="1">
      <c r="A51" s="102" t="s">
        <v>314</v>
      </c>
      <c r="B51" s="102" t="s">
        <v>700</v>
      </c>
      <c r="C51" s="102" t="s">
        <v>295</v>
      </c>
      <c r="D51" s="102"/>
      <c r="E51" s="103" t="s">
        <v>527</v>
      </c>
      <c r="F51" s="226"/>
      <c r="G51" s="165" t="s">
        <v>701</v>
      </c>
      <c r="H51" s="103" t="s">
        <v>299</v>
      </c>
      <c r="I51" s="91"/>
      <c r="J51" s="91"/>
      <c r="K51" s="91"/>
      <c r="L51" s="140" t="s">
        <v>78</v>
      </c>
      <c r="M51" s="104"/>
      <c r="N51" s="220"/>
      <c r="O51" s="220"/>
      <c r="P51" s="220"/>
      <c r="Q51" s="220"/>
      <c r="R51" s="220"/>
      <c r="S51" s="220"/>
      <c r="T51" s="220"/>
      <c r="U51" s="220"/>
      <c r="V51" s="220"/>
      <c r="W51" s="104"/>
      <c r="X51" s="104"/>
      <c r="Y51" s="104"/>
      <c r="Z51" s="104"/>
      <c r="AA51" s="104"/>
      <c r="AB51" s="104" t="s">
        <v>39</v>
      </c>
      <c r="AC51" s="108"/>
      <c r="AD51" s="109"/>
      <c r="AE51" s="109"/>
      <c r="AF51" s="109" t="s">
        <v>224</v>
      </c>
      <c r="AG51" s="109"/>
      <c r="AH51" s="110"/>
      <c r="AI51" s="110"/>
      <c r="AJ51" s="111"/>
      <c r="AK51" s="111"/>
      <c r="AL51" s="111"/>
      <c r="AM51" s="111"/>
      <c r="AN51" s="111"/>
      <c r="AO51" s="111"/>
      <c r="AP51" s="111"/>
      <c r="AQ51" t="str">
        <f t="shared" si="2"/>
        <v>NORDIC ENERGY SERVICES LLC ---  GCC Supplier Integration (Not Testing)</v>
      </c>
      <c r="BQ51"/>
    </row>
    <row r="52" spans="1:69" ht="15.75" customHeight="1">
      <c r="A52" s="102" t="s">
        <v>702</v>
      </c>
      <c r="B52" s="102" t="s">
        <v>700</v>
      </c>
      <c r="C52" s="102" t="s">
        <v>295</v>
      </c>
      <c r="D52" s="102"/>
      <c r="E52" s="103" t="s">
        <v>527</v>
      </c>
      <c r="F52" s="226"/>
      <c r="G52" s="165" t="s">
        <v>701</v>
      </c>
      <c r="H52" s="103" t="s">
        <v>299</v>
      </c>
      <c r="I52" s="91"/>
      <c r="J52" s="91"/>
      <c r="K52" s="91"/>
      <c r="L52" s="140" t="s">
        <v>78</v>
      </c>
      <c r="M52" s="104"/>
      <c r="N52" s="220"/>
      <c r="O52" s="220"/>
      <c r="P52" s="220"/>
      <c r="Q52" s="220"/>
      <c r="R52" s="220"/>
      <c r="S52" s="220"/>
      <c r="T52" s="220"/>
      <c r="U52" s="220"/>
      <c r="V52" s="220"/>
      <c r="W52" s="104"/>
      <c r="X52" s="104"/>
      <c r="Y52" s="104"/>
      <c r="Z52" s="104"/>
      <c r="AA52" s="104"/>
      <c r="AB52" s="104" t="s">
        <v>39</v>
      </c>
      <c r="AC52" s="108"/>
      <c r="AD52" s="109"/>
      <c r="AE52" s="109"/>
      <c r="AF52" s="109" t="s">
        <v>224</v>
      </c>
      <c r="AG52" s="109"/>
      <c r="AH52" s="110"/>
      <c r="AI52" s="110"/>
      <c r="AJ52" s="111"/>
      <c r="AK52" s="111"/>
      <c r="AL52" s="111"/>
      <c r="AM52" s="111"/>
      <c r="AN52" s="111"/>
      <c r="AO52" s="111"/>
      <c r="AP52" s="111"/>
      <c r="AQ52" t="str">
        <f t="shared" si="2"/>
        <v>NTHERM ---  GCC Supplier Integration (Not Testing)</v>
      </c>
      <c r="BQ52"/>
    </row>
    <row r="53" spans="1:69" ht="15.75" customHeight="1">
      <c r="A53" s="102" t="s">
        <v>316</v>
      </c>
      <c r="B53" s="102" t="s">
        <v>700</v>
      </c>
      <c r="C53" s="102" t="s">
        <v>295</v>
      </c>
      <c r="D53" s="102"/>
      <c r="E53" s="103" t="s">
        <v>527</v>
      </c>
      <c r="F53" s="226"/>
      <c r="G53" s="165" t="s">
        <v>701</v>
      </c>
      <c r="H53" s="103" t="s">
        <v>299</v>
      </c>
      <c r="I53" s="91"/>
      <c r="J53" s="91"/>
      <c r="K53" s="91"/>
      <c r="L53" s="140" t="s">
        <v>78</v>
      </c>
      <c r="M53" s="104"/>
      <c r="N53" s="220"/>
      <c r="O53" s="220"/>
      <c r="P53" s="220"/>
      <c r="Q53" s="220"/>
      <c r="R53" s="220"/>
      <c r="S53" s="220"/>
      <c r="T53" s="220"/>
      <c r="U53" s="220"/>
      <c r="V53" s="220"/>
      <c r="W53" s="104"/>
      <c r="X53" s="104"/>
      <c r="Y53" s="104"/>
      <c r="Z53" s="104"/>
      <c r="AA53" s="104"/>
      <c r="AB53" s="104" t="s">
        <v>39</v>
      </c>
      <c r="AC53" s="108"/>
      <c r="AD53" s="109"/>
      <c r="AE53" s="109"/>
      <c r="AF53" s="109" t="s">
        <v>224</v>
      </c>
      <c r="AG53" s="109"/>
      <c r="AH53" s="110"/>
      <c r="AI53" s="110"/>
      <c r="AJ53" s="111"/>
      <c r="AK53" s="111"/>
      <c r="AL53" s="111"/>
      <c r="AM53" s="111"/>
      <c r="AN53" s="111"/>
      <c r="AO53" s="111"/>
      <c r="AP53" s="111"/>
      <c r="AQ53" t="str">
        <f t="shared" si="2"/>
        <v>Provision ---  GCC Supplier Integration (Not Testing)</v>
      </c>
      <c r="BQ53"/>
    </row>
    <row r="54" spans="1:69" ht="15.75" customHeight="1">
      <c r="A54" s="102" t="s">
        <v>317</v>
      </c>
      <c r="B54" s="102" t="s">
        <v>700</v>
      </c>
      <c r="C54" s="102" t="s">
        <v>295</v>
      </c>
      <c r="D54" s="102"/>
      <c r="E54" s="103" t="s">
        <v>527</v>
      </c>
      <c r="F54" s="226"/>
      <c r="G54" s="165" t="s">
        <v>701</v>
      </c>
      <c r="H54" s="103" t="s">
        <v>299</v>
      </c>
      <c r="I54" s="91"/>
      <c r="J54" s="91"/>
      <c r="K54" s="91"/>
      <c r="L54" s="140" t="s">
        <v>78</v>
      </c>
      <c r="M54" s="104"/>
      <c r="N54" s="220"/>
      <c r="O54" s="220"/>
      <c r="P54" s="220"/>
      <c r="Q54" s="220"/>
      <c r="R54" s="220"/>
      <c r="S54" s="220"/>
      <c r="T54" s="220"/>
      <c r="U54" s="220"/>
      <c r="V54" s="220"/>
      <c r="W54" s="104"/>
      <c r="X54" s="104"/>
      <c r="Y54" s="104"/>
      <c r="Z54" s="104"/>
      <c r="AA54" s="104"/>
      <c r="AB54" s="104" t="s">
        <v>39</v>
      </c>
      <c r="AC54" s="108"/>
      <c r="AD54" s="109"/>
      <c r="AE54" s="109"/>
      <c r="AF54" s="109" t="s">
        <v>224</v>
      </c>
      <c r="AG54" s="109"/>
      <c r="AH54" s="110"/>
      <c r="AI54" s="110"/>
      <c r="AJ54" s="111"/>
      <c r="AK54" s="111"/>
      <c r="AL54" s="111"/>
      <c r="AM54" s="111"/>
      <c r="AN54" s="111"/>
      <c r="AO54" s="111"/>
      <c r="AP54" s="111"/>
      <c r="AQ54" t="str">
        <f t="shared" si="2"/>
        <v>Residents Energy, LLC ---  GCC Supplier Integration (Not Testing)</v>
      </c>
      <c r="BQ54"/>
    </row>
    <row r="55" spans="1:69" ht="15.75" customHeight="1">
      <c r="A55" s="102" t="s">
        <v>318</v>
      </c>
      <c r="B55" s="102" t="s">
        <v>700</v>
      </c>
      <c r="C55" s="102" t="s">
        <v>295</v>
      </c>
      <c r="D55" s="102"/>
      <c r="E55" s="103" t="s">
        <v>527</v>
      </c>
      <c r="F55" s="226"/>
      <c r="G55" s="165" t="s">
        <v>701</v>
      </c>
      <c r="H55" s="103" t="s">
        <v>299</v>
      </c>
      <c r="I55" s="91"/>
      <c r="J55" s="91"/>
      <c r="K55" s="91"/>
      <c r="L55" s="140" t="s">
        <v>78</v>
      </c>
      <c r="M55" s="104"/>
      <c r="N55" s="220"/>
      <c r="O55" s="220"/>
      <c r="P55" s="220"/>
      <c r="Q55" s="220"/>
      <c r="R55" s="220"/>
      <c r="S55" s="220"/>
      <c r="T55" s="220"/>
      <c r="U55" s="220"/>
      <c r="V55" s="220"/>
      <c r="W55" s="104"/>
      <c r="X55" s="104"/>
      <c r="Y55" s="104"/>
      <c r="Z55" s="104"/>
      <c r="AA55" s="104"/>
      <c r="AB55" s="104" t="s">
        <v>39</v>
      </c>
      <c r="AC55" s="108"/>
      <c r="AD55" s="109"/>
      <c r="AE55" s="109"/>
      <c r="AF55" s="109" t="s">
        <v>224</v>
      </c>
      <c r="AG55" s="109"/>
      <c r="AH55" s="110"/>
      <c r="AI55" s="110"/>
      <c r="AJ55" s="111"/>
      <c r="AK55" s="111"/>
      <c r="AL55" s="111"/>
      <c r="AM55" s="111"/>
      <c r="AN55" s="111"/>
      <c r="AO55" s="111"/>
      <c r="AP55" s="111"/>
      <c r="AQ55" t="str">
        <f t="shared" si="2"/>
        <v>Santanna Energy Services ---  GCC Supplier Integration (Not Testing)</v>
      </c>
      <c r="BQ55"/>
    </row>
    <row r="56" spans="1:69" ht="15.75" customHeight="1">
      <c r="A56" s="102" t="s">
        <v>319</v>
      </c>
      <c r="B56" s="102" t="s">
        <v>700</v>
      </c>
      <c r="C56" s="102" t="s">
        <v>295</v>
      </c>
      <c r="D56" s="102"/>
      <c r="E56" s="103" t="s">
        <v>527</v>
      </c>
      <c r="F56" s="226"/>
      <c r="G56" s="165" t="s">
        <v>701</v>
      </c>
      <c r="H56" s="103" t="s">
        <v>299</v>
      </c>
      <c r="I56" s="91"/>
      <c r="J56" s="91"/>
      <c r="K56" s="91"/>
      <c r="L56" s="140" t="s">
        <v>78</v>
      </c>
      <c r="M56" s="104"/>
      <c r="N56" s="220"/>
      <c r="O56" s="220"/>
      <c r="P56" s="220"/>
      <c r="Q56" s="220"/>
      <c r="R56" s="220"/>
      <c r="S56" s="220"/>
      <c r="T56" s="220"/>
      <c r="U56" s="220"/>
      <c r="V56" s="220"/>
      <c r="W56" s="104"/>
      <c r="X56" s="104"/>
      <c r="Y56" s="104"/>
      <c r="Z56" s="104"/>
      <c r="AA56" s="104"/>
      <c r="AB56" s="104" t="s">
        <v>39</v>
      </c>
      <c r="AC56" s="108"/>
      <c r="AD56" s="109"/>
      <c r="AE56" s="109"/>
      <c r="AF56" s="109" t="s">
        <v>224</v>
      </c>
      <c r="AG56" s="109"/>
      <c r="AH56" s="110"/>
      <c r="AI56" s="110"/>
      <c r="AJ56" s="111"/>
      <c r="AK56" s="111"/>
      <c r="AL56" s="111"/>
      <c r="AM56" s="111"/>
      <c r="AN56" s="111"/>
      <c r="AO56" s="111"/>
      <c r="AP56" s="111"/>
      <c r="AQ56" t="str">
        <f t="shared" si="2"/>
        <v>Spark Energy ---  GCC Supplier Integration (Not Testing)</v>
      </c>
      <c r="BQ56"/>
    </row>
    <row r="57" spans="1:69" ht="15.75" customHeight="1">
      <c r="A57" s="102" t="s">
        <v>320</v>
      </c>
      <c r="B57" s="102" t="s">
        <v>700</v>
      </c>
      <c r="C57" s="102" t="s">
        <v>295</v>
      </c>
      <c r="D57" s="102"/>
      <c r="E57" s="103" t="s">
        <v>527</v>
      </c>
      <c r="F57" s="226"/>
      <c r="G57" s="165" t="s">
        <v>701</v>
      </c>
      <c r="H57" s="103" t="s">
        <v>299</v>
      </c>
      <c r="I57" s="91"/>
      <c r="J57" s="91"/>
      <c r="K57" s="91"/>
      <c r="L57" s="140" t="s">
        <v>78</v>
      </c>
      <c r="M57" s="104"/>
      <c r="N57" s="220"/>
      <c r="O57" s="220"/>
      <c r="P57" s="220"/>
      <c r="Q57" s="220"/>
      <c r="R57" s="220"/>
      <c r="S57" s="220"/>
      <c r="T57" s="220"/>
      <c r="U57" s="220"/>
      <c r="V57" s="220"/>
      <c r="W57" s="104"/>
      <c r="X57" s="104"/>
      <c r="Y57" s="104"/>
      <c r="Z57" s="104"/>
      <c r="AA57" s="104"/>
      <c r="AB57" s="104" t="s">
        <v>39</v>
      </c>
      <c r="AC57" s="108"/>
      <c r="AD57" s="109"/>
      <c r="AE57" s="109"/>
      <c r="AF57" s="109" t="s">
        <v>224</v>
      </c>
      <c r="AG57" s="109"/>
      <c r="AH57" s="110"/>
      <c r="AI57" s="110"/>
      <c r="AJ57" s="111"/>
      <c r="AK57" s="111"/>
      <c r="AL57" s="111"/>
      <c r="AM57" s="111"/>
      <c r="AN57" s="111"/>
      <c r="AO57" s="111"/>
      <c r="AP57" s="111"/>
      <c r="AQ57" t="str">
        <f t="shared" si="2"/>
        <v>Symmetry Energy Solutions, LLC ---  GCC Supplier Integration (Not Testing)</v>
      </c>
      <c r="BQ57"/>
    </row>
    <row r="58" spans="1:69" ht="15.75" customHeight="1">
      <c r="A58" s="102" t="s">
        <v>321</v>
      </c>
      <c r="B58" s="102" t="s">
        <v>700</v>
      </c>
      <c r="C58" s="102" t="s">
        <v>295</v>
      </c>
      <c r="D58" s="102"/>
      <c r="E58" s="103" t="s">
        <v>527</v>
      </c>
      <c r="F58" s="226"/>
      <c r="G58" s="165" t="s">
        <v>701</v>
      </c>
      <c r="H58" s="146" t="s">
        <v>299</v>
      </c>
      <c r="I58" s="91"/>
      <c r="J58" s="91"/>
      <c r="K58" s="91"/>
      <c r="L58" s="140" t="s">
        <v>78</v>
      </c>
      <c r="M58" s="104"/>
      <c r="N58" s="220"/>
      <c r="O58" s="220"/>
      <c r="P58" s="220"/>
      <c r="Q58" s="220"/>
      <c r="R58" s="220"/>
      <c r="S58" s="220"/>
      <c r="T58" s="220"/>
      <c r="U58" s="220"/>
      <c r="V58" s="220"/>
      <c r="W58" s="104"/>
      <c r="X58" s="104"/>
      <c r="Y58" s="104"/>
      <c r="Z58" s="104"/>
      <c r="AA58" s="104"/>
      <c r="AB58" s="104" t="s">
        <v>39</v>
      </c>
      <c r="AC58" s="108"/>
      <c r="AD58" s="109"/>
      <c r="AE58" s="109"/>
      <c r="AF58" s="109" t="s">
        <v>224</v>
      </c>
      <c r="AG58" s="109"/>
      <c r="AH58" s="110"/>
      <c r="AI58" s="110"/>
      <c r="AJ58" s="111"/>
      <c r="AK58" s="111"/>
      <c r="AL58" s="111"/>
      <c r="AM58" s="111"/>
      <c r="AN58" s="111"/>
      <c r="AO58" s="111"/>
      <c r="AP58" s="111"/>
      <c r="AQ58" t="str">
        <f t="shared" si="2"/>
        <v>Xoom Energy ---  GCC Supplier Integration (Not Testing)</v>
      </c>
      <c r="BQ58"/>
    </row>
    <row r="59" spans="1:69" s="4" customFormat="1" ht="15.75" customHeight="1">
      <c r="A59" s="21" t="s">
        <v>245</v>
      </c>
      <c r="B59" s="21" t="s">
        <v>703</v>
      </c>
      <c r="C59" s="21" t="s">
        <v>120</v>
      </c>
      <c r="D59" s="21" t="s">
        <v>605</v>
      </c>
      <c r="E59" s="161" t="s">
        <v>527</v>
      </c>
      <c r="F59" s="161"/>
      <c r="G59" s="255" t="s">
        <v>704</v>
      </c>
      <c r="H59" s="262" t="s">
        <v>249</v>
      </c>
      <c r="I59" s="243"/>
      <c r="J59" s="173" t="s">
        <v>77</v>
      </c>
      <c r="K59" s="173" t="s">
        <v>39</v>
      </c>
      <c r="L59" s="216" t="s">
        <v>78</v>
      </c>
      <c r="M59" s="209"/>
      <c r="N59" s="240" t="s">
        <v>605</v>
      </c>
      <c r="O59" s="240"/>
      <c r="P59" s="240"/>
      <c r="Q59" s="240"/>
      <c r="R59" s="240"/>
      <c r="S59" s="240"/>
      <c r="T59" s="237"/>
      <c r="U59" s="237"/>
      <c r="V59" s="169" t="s">
        <v>705</v>
      </c>
      <c r="W59" s="160" t="s">
        <v>627</v>
      </c>
      <c r="X59" s="104"/>
      <c r="Y59" s="104"/>
      <c r="Z59" s="104"/>
      <c r="AA59" s="104"/>
      <c r="AB59" s="140" t="s">
        <v>39</v>
      </c>
      <c r="AC59" s="156"/>
      <c r="AD59" s="143"/>
      <c r="AE59" s="109"/>
      <c r="AF59" s="109"/>
      <c r="AG59" s="141"/>
      <c r="AH59" s="157"/>
      <c r="AI59" s="144"/>
      <c r="AJ59" s="111"/>
      <c r="AK59" s="111"/>
      <c r="AL59" s="111"/>
      <c r="AM59" s="111"/>
      <c r="AN59" s="111"/>
      <c r="AO59" s="111"/>
      <c r="AP59" s="142"/>
      <c r="AQ59" s="175" t="str">
        <f t="shared" si="2"/>
        <v>Excimp ---  EMMAx SAP Add-On in ECC</v>
      </c>
      <c r="BQ59" s="16"/>
    </row>
    <row r="60" spans="1:69" s="4" customFormat="1" ht="15.75" customHeight="1">
      <c r="A60" s="21" t="s">
        <v>706</v>
      </c>
      <c r="B60" s="21" t="s">
        <v>251</v>
      </c>
      <c r="C60" s="21" t="s">
        <v>161</v>
      </c>
      <c r="D60" s="21" t="s">
        <v>605</v>
      </c>
      <c r="E60" s="161" t="s">
        <v>527</v>
      </c>
      <c r="F60" s="161"/>
      <c r="G60" s="193" t="s">
        <v>707</v>
      </c>
      <c r="H60" s="256" t="s">
        <v>253</v>
      </c>
      <c r="I60" s="166"/>
      <c r="J60" s="173" t="s">
        <v>39</v>
      </c>
      <c r="K60" s="174"/>
      <c r="L60" s="249"/>
      <c r="M60" s="206"/>
      <c r="N60" s="240" t="s">
        <v>605</v>
      </c>
      <c r="O60" s="240"/>
      <c r="P60" s="240"/>
      <c r="Q60" s="240"/>
      <c r="R60" s="240"/>
      <c r="S60" s="240"/>
      <c r="T60" s="237"/>
      <c r="U60" s="237"/>
      <c r="V60" s="169" t="s">
        <v>708</v>
      </c>
      <c r="W60" s="159" t="s">
        <v>609</v>
      </c>
      <c r="X60" s="104"/>
      <c r="Y60" s="104"/>
      <c r="Z60" s="104"/>
      <c r="AA60" s="104"/>
      <c r="AB60" s="140" t="s">
        <v>39</v>
      </c>
      <c r="AC60" s="156"/>
      <c r="AD60" s="143"/>
      <c r="AE60" s="109"/>
      <c r="AF60" s="109"/>
      <c r="AG60" s="141"/>
      <c r="AH60" s="157"/>
      <c r="AI60" s="144"/>
      <c r="AJ60" s="111"/>
      <c r="AK60" s="111"/>
      <c r="AL60" s="111"/>
      <c r="AM60" s="111"/>
      <c r="AN60" s="111"/>
      <c r="AO60" s="111"/>
      <c r="AP60" s="142"/>
      <c r="AQ60" s="175" t="str">
        <f t="shared" si="2"/>
        <v>GridX (was Uplight) ---  Energy Usage Dashboard</v>
      </c>
      <c r="BQ60" s="16"/>
    </row>
    <row r="61" spans="1:69" s="59" customFormat="1" ht="15.75" customHeight="1">
      <c r="A61" s="21" t="s">
        <v>495</v>
      </c>
      <c r="B61" s="21" t="s">
        <v>709</v>
      </c>
      <c r="C61" s="21"/>
      <c r="D61" s="21" t="s">
        <v>605</v>
      </c>
      <c r="E61" s="161" t="s">
        <v>527</v>
      </c>
      <c r="F61" s="161" t="s">
        <v>710</v>
      </c>
      <c r="G61" s="193" t="s">
        <v>711</v>
      </c>
      <c r="H61" s="163" t="s">
        <v>712</v>
      </c>
      <c r="I61" s="166"/>
      <c r="J61" s="172"/>
      <c r="K61" s="172"/>
      <c r="L61" s="217"/>
      <c r="M61" s="210"/>
      <c r="N61" s="260"/>
      <c r="O61" s="260"/>
      <c r="P61" s="260"/>
      <c r="Q61" s="260"/>
      <c r="R61" s="260"/>
      <c r="S61" s="260"/>
      <c r="T61" s="239"/>
      <c r="U61" s="239"/>
      <c r="V61" s="169" t="s">
        <v>713</v>
      </c>
      <c r="W61" s="160"/>
      <c r="X61" s="104"/>
      <c r="Y61" s="104"/>
      <c r="Z61" s="104"/>
      <c r="AA61" s="104"/>
      <c r="AB61" s="140"/>
      <c r="AC61" s="156"/>
      <c r="AD61" s="143"/>
      <c r="AE61" s="109"/>
      <c r="AF61" s="109"/>
      <c r="AG61" s="141"/>
      <c r="AH61" s="157"/>
      <c r="AI61" s="144"/>
      <c r="AJ61" s="111"/>
      <c r="AK61" s="111"/>
      <c r="AL61" s="111"/>
      <c r="AM61" s="111"/>
      <c r="AN61" s="111"/>
      <c r="AO61" s="111"/>
      <c r="AP61" s="142"/>
      <c r="AQ61" s="175" t="str">
        <f t="shared" si="2"/>
        <v>ClearResult ---  Marketplace</v>
      </c>
      <c r="AR61" s="4"/>
      <c r="AS61" s="4"/>
      <c r="AT61" s="4"/>
      <c r="AU61" s="4"/>
      <c r="AV61" s="4"/>
      <c r="AW61" s="4"/>
      <c r="AX61" s="4"/>
      <c r="AY61" s="4"/>
      <c r="AZ61" s="4"/>
      <c r="BA61" s="4"/>
      <c r="BB61" s="4"/>
      <c r="BC61" s="4"/>
      <c r="BD61" s="4"/>
      <c r="BE61" s="4"/>
      <c r="BF61" s="4"/>
      <c r="BG61" s="4"/>
      <c r="BH61" s="4"/>
      <c r="BI61" s="4"/>
      <c r="BJ61" s="4"/>
      <c r="BK61" s="4"/>
      <c r="BL61" s="4"/>
      <c r="BM61" s="4"/>
      <c r="BN61" s="4"/>
      <c r="BO61" s="4"/>
      <c r="BQ61" s="253"/>
    </row>
    <row r="62" spans="1:69" s="4" customFormat="1" ht="15.75" customHeight="1">
      <c r="A62" s="27" t="s">
        <v>390</v>
      </c>
      <c r="B62" s="27" t="s">
        <v>714</v>
      </c>
      <c r="C62" s="21" t="s">
        <v>161</v>
      </c>
      <c r="D62" s="21" t="s">
        <v>605</v>
      </c>
      <c r="E62" s="161" t="s">
        <v>527</v>
      </c>
      <c r="F62" s="161"/>
      <c r="G62" s="252" t="s">
        <v>715</v>
      </c>
      <c r="H62" s="248" t="s">
        <v>393</v>
      </c>
      <c r="I62" s="166"/>
      <c r="J62" s="173" t="s">
        <v>39</v>
      </c>
      <c r="K62" s="173" t="s">
        <v>39</v>
      </c>
      <c r="L62" s="216" t="s">
        <v>78</v>
      </c>
      <c r="M62" s="209"/>
      <c r="N62" s="254"/>
      <c r="O62" s="254"/>
      <c r="P62" s="254"/>
      <c r="Q62" s="254" t="s">
        <v>605</v>
      </c>
      <c r="R62" s="254"/>
      <c r="S62" s="254"/>
      <c r="T62" s="237"/>
      <c r="U62" s="237"/>
      <c r="V62" s="169" t="s">
        <v>716</v>
      </c>
      <c r="W62" s="160" t="s">
        <v>627</v>
      </c>
      <c r="X62" s="104"/>
      <c r="Y62" s="104"/>
      <c r="Z62" s="104"/>
      <c r="AA62" s="104"/>
      <c r="AB62" s="140" t="s">
        <v>39</v>
      </c>
      <c r="AC62" s="156"/>
      <c r="AD62" s="143"/>
      <c r="AE62" s="109"/>
      <c r="AF62" s="109"/>
      <c r="AG62" s="141"/>
      <c r="AH62" s="157"/>
      <c r="AI62" s="144"/>
      <c r="AJ62" s="111"/>
      <c r="AK62" s="111"/>
      <c r="AL62" s="111"/>
      <c r="AM62" s="111"/>
      <c r="AN62" s="111"/>
      <c r="AO62" s="111"/>
      <c r="AP62" s="142"/>
      <c r="AQ62" s="175" t="str">
        <f t="shared" si="2"/>
        <v>Powerley ---  My Energy Analyzer (Halted)</v>
      </c>
      <c r="BQ62" s="16"/>
    </row>
    <row r="63" spans="1:69" s="4" customFormat="1" ht="15.75" customHeight="1">
      <c r="A63" s="29" t="s">
        <v>361</v>
      </c>
      <c r="B63" s="21" t="s">
        <v>717</v>
      </c>
      <c r="C63" s="21" t="s">
        <v>36</v>
      </c>
      <c r="D63" s="21" t="s">
        <v>605</v>
      </c>
      <c r="E63" s="161" t="s">
        <v>527</v>
      </c>
      <c r="F63" s="161"/>
      <c r="G63" s="193" t="s">
        <v>718</v>
      </c>
      <c r="H63" s="248" t="s">
        <v>364</v>
      </c>
      <c r="I63" s="166"/>
      <c r="J63" s="171" t="s">
        <v>719</v>
      </c>
      <c r="K63" s="171" t="s">
        <v>719</v>
      </c>
      <c r="L63" s="218" t="s">
        <v>719</v>
      </c>
      <c r="M63" s="211"/>
      <c r="N63" s="227"/>
      <c r="O63" s="227"/>
      <c r="P63" s="227"/>
      <c r="Q63" s="227"/>
      <c r="R63" s="227"/>
      <c r="S63" s="227"/>
      <c r="T63" s="227"/>
      <c r="U63" s="227"/>
      <c r="V63" s="169" t="s">
        <v>720</v>
      </c>
      <c r="W63" s="158" t="s">
        <v>681</v>
      </c>
      <c r="X63" s="104"/>
      <c r="Y63" s="104"/>
      <c r="Z63" s="104"/>
      <c r="AA63" s="104"/>
      <c r="AB63" s="140" t="s">
        <v>77</v>
      </c>
      <c r="AC63" s="156"/>
      <c r="AD63" s="143"/>
      <c r="AE63" s="109"/>
      <c r="AF63" s="109"/>
      <c r="AG63" s="141"/>
      <c r="AH63" s="157"/>
      <c r="AI63" s="144"/>
      <c r="AJ63" s="111"/>
      <c r="AK63" s="111"/>
      <c r="AL63" s="111"/>
      <c r="AM63" s="111"/>
      <c r="AN63" s="111"/>
      <c r="AO63" s="111"/>
      <c r="AP63" s="142"/>
      <c r="AQ63" s="175" t="str">
        <f t="shared" si="2"/>
        <v xml:space="preserve">AT&amp;T  ---  IVR is tied into AT&amp;T </v>
      </c>
      <c r="AR63" s="187"/>
      <c r="AS63" s="188"/>
      <c r="AT63" s="189"/>
      <c r="AU63" s="189"/>
      <c r="AV63" s="84"/>
      <c r="AW63" s="187"/>
      <c r="AX63" s="187"/>
      <c r="BQ63" s="16"/>
    </row>
    <row r="64" spans="1:69" s="4" customFormat="1" ht="15.75" customHeight="1">
      <c r="A64" s="21" t="s">
        <v>192</v>
      </c>
      <c r="B64" s="21" t="s">
        <v>193</v>
      </c>
      <c r="C64" s="21" t="s">
        <v>120</v>
      </c>
      <c r="D64" s="21" t="s">
        <v>605</v>
      </c>
      <c r="E64" s="161" t="s">
        <v>527</v>
      </c>
      <c r="F64" s="161"/>
      <c r="G64" s="193" t="s">
        <v>194</v>
      </c>
      <c r="H64" s="248" t="s">
        <v>77</v>
      </c>
      <c r="I64" s="166"/>
      <c r="J64" s="171" t="s">
        <v>719</v>
      </c>
      <c r="K64" s="171" t="s">
        <v>719</v>
      </c>
      <c r="L64" s="218" t="s">
        <v>719</v>
      </c>
      <c r="M64" s="211"/>
      <c r="N64" s="227"/>
      <c r="O64" s="227"/>
      <c r="P64" s="227"/>
      <c r="Q64" s="227"/>
      <c r="R64" s="227"/>
      <c r="S64" s="227"/>
      <c r="T64" s="227"/>
      <c r="U64" s="227"/>
      <c r="V64" s="170" t="s">
        <v>721</v>
      </c>
      <c r="W64" s="158" t="s">
        <v>681</v>
      </c>
      <c r="X64" s="104"/>
      <c r="Y64" s="104"/>
      <c r="Z64" s="104"/>
      <c r="AA64" s="104"/>
      <c r="AB64" s="140" t="s">
        <v>78</v>
      </c>
      <c r="AC64" s="156"/>
      <c r="AD64" s="143"/>
      <c r="AE64" s="109"/>
      <c r="AF64" s="109"/>
      <c r="AG64" s="141"/>
      <c r="AH64" s="157"/>
      <c r="AI64" s="144"/>
      <c r="AJ64" s="111"/>
      <c r="AK64" s="111"/>
      <c r="AL64" s="111"/>
      <c r="AM64" s="111"/>
      <c r="AN64" s="111"/>
      <c r="AO64" s="111"/>
      <c r="AP64" s="142"/>
      <c r="AQ64" s="175" t="str">
        <f t="shared" si="2"/>
        <v>DegreeDays.Net ---  DEGREE DAYS.net API Basic</v>
      </c>
      <c r="BQ64" s="16"/>
    </row>
    <row r="65" spans="1:69" s="4" customFormat="1" ht="15.75" customHeight="1">
      <c r="A65" s="21" t="s">
        <v>130</v>
      </c>
      <c r="B65" s="21" t="s">
        <v>722</v>
      </c>
      <c r="C65" s="21" t="s">
        <v>36</v>
      </c>
      <c r="D65" s="21" t="s">
        <v>605</v>
      </c>
      <c r="E65" s="161" t="s">
        <v>527</v>
      </c>
      <c r="F65" s="161"/>
      <c r="G65" s="192" t="s">
        <v>723</v>
      </c>
      <c r="H65" s="163" t="s">
        <v>133</v>
      </c>
      <c r="I65" s="168"/>
      <c r="J65" s="173" t="s">
        <v>39</v>
      </c>
      <c r="K65" s="173" t="s">
        <v>39</v>
      </c>
      <c r="L65" s="216" t="s">
        <v>78</v>
      </c>
      <c r="M65" s="209"/>
      <c r="N65" s="247"/>
      <c r="O65" s="247"/>
      <c r="P65" s="247"/>
      <c r="Q65" s="247"/>
      <c r="R65" s="247"/>
      <c r="S65" s="247"/>
      <c r="T65" s="237"/>
      <c r="U65" s="237"/>
      <c r="V65" s="169" t="s">
        <v>724</v>
      </c>
      <c r="W65" s="159" t="s">
        <v>609</v>
      </c>
      <c r="X65" s="105"/>
      <c r="Y65" s="106"/>
      <c r="Z65" s="107"/>
      <c r="AA65" s="104"/>
      <c r="AB65" s="140" t="s">
        <v>39</v>
      </c>
      <c r="AC65" s="156"/>
      <c r="AD65" s="143"/>
      <c r="AE65" s="109"/>
      <c r="AF65" s="109"/>
      <c r="AG65" s="141"/>
      <c r="AH65" s="157"/>
      <c r="AI65" s="144"/>
      <c r="AJ65" s="111"/>
      <c r="AK65" s="111"/>
      <c r="AL65" s="111"/>
      <c r="AM65" s="111"/>
      <c r="AN65" s="111"/>
      <c r="AO65" s="111"/>
      <c r="AP65" s="142"/>
      <c r="AQ65" s="175" t="str">
        <f t="shared" si="2"/>
        <v>SQM ---  CCC Surveys Integration</v>
      </c>
      <c r="BQ65" s="16"/>
    </row>
    <row r="66" spans="1:69" ht="15.75" customHeight="1">
      <c r="A66" s="150" t="s">
        <v>113</v>
      </c>
      <c r="B66" s="150" t="s">
        <v>725</v>
      </c>
      <c r="C66" s="150" t="s">
        <v>55</v>
      </c>
      <c r="D66" s="150"/>
      <c r="E66" s="151" t="s">
        <v>726</v>
      </c>
      <c r="F66" s="151"/>
      <c r="G66" s="151" t="s">
        <v>115</v>
      </c>
      <c r="H66" s="103"/>
      <c r="I66" s="152"/>
      <c r="J66" s="152"/>
      <c r="K66" s="152"/>
      <c r="L66" s="213" t="s">
        <v>78</v>
      </c>
      <c r="M66" s="104"/>
      <c r="N66" s="220"/>
      <c r="O66" s="220"/>
      <c r="P66" s="220"/>
      <c r="Q66" s="220"/>
      <c r="R66" s="220"/>
      <c r="S66" s="220"/>
      <c r="T66" s="220"/>
      <c r="U66" s="220"/>
      <c r="V66" s="220"/>
      <c r="W66" s="104"/>
      <c r="X66" s="104"/>
      <c r="Y66" s="104"/>
      <c r="Z66" s="104"/>
      <c r="AA66" s="104"/>
      <c r="AB66" s="104" t="s">
        <v>39</v>
      </c>
      <c r="AC66" s="153"/>
      <c r="AD66" s="109"/>
      <c r="AE66" s="109"/>
      <c r="AF66" s="109" t="s">
        <v>668</v>
      </c>
      <c r="AG66" s="109"/>
      <c r="AH66" s="154"/>
      <c r="AI66" s="110"/>
      <c r="AJ66" s="111"/>
      <c r="AK66" s="111"/>
      <c r="AL66" s="111"/>
      <c r="AM66" s="111"/>
      <c r="AN66" s="111"/>
      <c r="AO66" s="111"/>
      <c r="AP66" s="111"/>
      <c r="AQ66" t="str">
        <f t="shared" ref="AQ66:AQ129" si="3">_xlfn.CONCAT(A66," ---  ",B66)</f>
        <v xml:space="preserve">Bank of America ---  BOA </v>
      </c>
      <c r="BQ66"/>
    </row>
    <row r="67" spans="1:69" ht="15.75" customHeight="1">
      <c r="A67" s="102" t="s">
        <v>140</v>
      </c>
      <c r="B67" s="102" t="s">
        <v>727</v>
      </c>
      <c r="C67" s="102" t="s">
        <v>55</v>
      </c>
      <c r="D67" s="102"/>
      <c r="E67" s="103" t="s">
        <v>726</v>
      </c>
      <c r="F67" s="103"/>
      <c r="G67" s="103" t="s">
        <v>115</v>
      </c>
      <c r="H67" s="103"/>
      <c r="I67" s="91"/>
      <c r="J67" s="91"/>
      <c r="K67" s="91"/>
      <c r="L67" s="140" t="s">
        <v>78</v>
      </c>
      <c r="M67" s="104"/>
      <c r="N67" s="220"/>
      <c r="O67" s="220"/>
      <c r="P67" s="220"/>
      <c r="Q67" s="220"/>
      <c r="R67" s="220"/>
      <c r="S67" s="220"/>
      <c r="T67" s="220"/>
      <c r="U67" s="220"/>
      <c r="V67" s="220"/>
      <c r="W67" s="104"/>
      <c r="X67" s="104"/>
      <c r="Y67" s="104"/>
      <c r="Z67" s="104"/>
      <c r="AA67" s="104"/>
      <c r="AB67" s="104" t="s">
        <v>39</v>
      </c>
      <c r="AC67" s="108"/>
      <c r="AD67" s="109"/>
      <c r="AE67" s="109"/>
      <c r="AF67" s="109" t="s">
        <v>668</v>
      </c>
      <c r="AG67" s="109"/>
      <c r="AH67" s="110"/>
      <c r="AI67" s="110"/>
      <c r="AJ67" s="111"/>
      <c r="AK67" s="111"/>
      <c r="AL67" s="111"/>
      <c r="AM67" s="111"/>
      <c r="AN67" s="111"/>
      <c r="AO67" s="111"/>
      <c r="AP67" s="111"/>
      <c r="AQ67" t="str">
        <f t="shared" si="3"/>
        <v xml:space="preserve">Citibank ---  Citibank </v>
      </c>
      <c r="BQ67"/>
    </row>
    <row r="68" spans="1:69" ht="15.75" customHeight="1">
      <c r="A68" s="102" t="s">
        <v>157</v>
      </c>
      <c r="B68" s="102" t="s">
        <v>728</v>
      </c>
      <c r="C68" s="102" t="s">
        <v>55</v>
      </c>
      <c r="D68" s="102"/>
      <c r="E68" s="103" t="s">
        <v>726</v>
      </c>
      <c r="F68" s="103"/>
      <c r="G68" s="103" t="s">
        <v>115</v>
      </c>
      <c r="H68" s="103"/>
      <c r="I68" s="91"/>
      <c r="J68" s="91"/>
      <c r="K68" s="91"/>
      <c r="L68" s="140" t="s">
        <v>78</v>
      </c>
      <c r="M68" s="104"/>
      <c r="N68" s="220"/>
      <c r="O68" s="220"/>
      <c r="P68" s="220"/>
      <c r="Q68" s="220"/>
      <c r="R68" s="220"/>
      <c r="S68" s="220"/>
      <c r="T68" s="220"/>
      <c r="U68" s="220"/>
      <c r="V68" s="220"/>
      <c r="W68" s="104"/>
      <c r="X68" s="104"/>
      <c r="Y68" s="104"/>
      <c r="Z68" s="104"/>
      <c r="AA68" s="104"/>
      <c r="AB68" s="104" t="s">
        <v>39</v>
      </c>
      <c r="AC68" s="108"/>
      <c r="AD68" s="109"/>
      <c r="AE68" s="109"/>
      <c r="AF68" s="109"/>
      <c r="AG68" s="109"/>
      <c r="AH68" s="110"/>
      <c r="AI68" s="110"/>
      <c r="AJ68" s="111"/>
      <c r="AK68" s="111"/>
      <c r="AL68" s="111"/>
      <c r="AM68" s="111"/>
      <c r="AN68" s="111"/>
      <c r="AO68" s="111"/>
      <c r="AP68" s="111"/>
      <c r="AQ68" t="str">
        <f t="shared" si="3"/>
        <v xml:space="preserve">Comerica ---  Comerica </v>
      </c>
      <c r="BQ68"/>
    </row>
    <row r="69" spans="1:69" ht="15.75" customHeight="1">
      <c r="A69" s="102" t="s">
        <v>75</v>
      </c>
      <c r="B69" s="102" t="s">
        <v>729</v>
      </c>
      <c r="C69" s="102" t="s">
        <v>55</v>
      </c>
      <c r="D69" s="102"/>
      <c r="E69" s="103" t="s">
        <v>726</v>
      </c>
      <c r="F69" s="103"/>
      <c r="G69" s="103" t="s">
        <v>76</v>
      </c>
      <c r="H69" s="103"/>
      <c r="I69" s="91"/>
      <c r="J69" s="91"/>
      <c r="K69" s="91"/>
      <c r="L69" s="140" t="s">
        <v>78</v>
      </c>
      <c r="M69" s="104"/>
      <c r="N69" s="220"/>
      <c r="O69" s="220"/>
      <c r="P69" s="220"/>
      <c r="Q69" s="220"/>
      <c r="R69" s="220"/>
      <c r="S69" s="220"/>
      <c r="T69" s="220"/>
      <c r="U69" s="220"/>
      <c r="V69" s="220"/>
      <c r="W69" s="104"/>
      <c r="X69" s="104"/>
      <c r="Y69" s="104"/>
      <c r="Z69" s="104"/>
      <c r="AA69" s="104"/>
      <c r="AB69" s="104" t="s">
        <v>77</v>
      </c>
      <c r="AC69" s="108"/>
      <c r="AD69" s="109"/>
      <c r="AE69" s="109"/>
      <c r="AF69" s="109"/>
      <c r="AG69" s="109"/>
      <c r="AH69" s="110"/>
      <c r="AI69" s="110"/>
      <c r="AJ69" s="111"/>
      <c r="AK69" s="111"/>
      <c r="AL69" s="111"/>
      <c r="AM69" s="111"/>
      <c r="AN69" s="111"/>
      <c r="AO69" s="111"/>
      <c r="AP69" s="111"/>
      <c r="AQ69" t="str">
        <f t="shared" si="3"/>
        <v xml:space="preserve">Alteryx ---  Alteryx </v>
      </c>
      <c r="BQ69"/>
    </row>
    <row r="70" spans="1:69" ht="15.75" customHeight="1">
      <c r="A70" s="102" t="s">
        <v>277</v>
      </c>
      <c r="B70" s="102" t="s">
        <v>730</v>
      </c>
      <c r="C70" s="102" t="s">
        <v>55</v>
      </c>
      <c r="D70" s="102"/>
      <c r="E70" s="103" t="s">
        <v>726</v>
      </c>
      <c r="F70" s="103"/>
      <c r="G70" s="103" t="s">
        <v>115</v>
      </c>
      <c r="H70" s="103"/>
      <c r="I70" s="91"/>
      <c r="J70" s="91"/>
      <c r="K70" s="91"/>
      <c r="L70" s="140" t="s">
        <v>78</v>
      </c>
      <c r="M70" s="104"/>
      <c r="N70" s="220"/>
      <c r="O70" s="220"/>
      <c r="P70" s="220"/>
      <c r="Q70" s="220"/>
      <c r="R70" s="220"/>
      <c r="S70" s="220"/>
      <c r="T70" s="220"/>
      <c r="U70" s="220"/>
      <c r="V70" s="220"/>
      <c r="W70" s="104"/>
      <c r="X70" s="104"/>
      <c r="Y70" s="104"/>
      <c r="Z70" s="104"/>
      <c r="AA70" s="104"/>
      <c r="AB70" s="104" t="s">
        <v>39</v>
      </c>
      <c r="AC70" s="108"/>
      <c r="AD70" s="109"/>
      <c r="AE70" s="109"/>
      <c r="AF70" s="109"/>
      <c r="AG70" s="109"/>
      <c r="AH70" s="110"/>
      <c r="AI70" s="110"/>
      <c r="AJ70" s="111"/>
      <c r="AK70" s="111"/>
      <c r="AL70" s="111"/>
      <c r="AM70" s="111"/>
      <c r="AN70" s="111"/>
      <c r="AO70" s="111"/>
      <c r="AP70" s="111"/>
      <c r="AQ70" t="str">
        <f t="shared" si="3"/>
        <v xml:space="preserve">FifthThrid ---  FifthThird </v>
      </c>
      <c r="BQ70"/>
    </row>
    <row r="71" spans="1:69" ht="15.75" customHeight="1">
      <c r="A71" s="102" t="s">
        <v>283</v>
      </c>
      <c r="B71" s="102" t="s">
        <v>284</v>
      </c>
      <c r="C71" s="102" t="s">
        <v>55</v>
      </c>
      <c r="D71" s="102"/>
      <c r="E71" s="103" t="s">
        <v>726</v>
      </c>
      <c r="F71" s="103"/>
      <c r="G71" s="103" t="s">
        <v>285</v>
      </c>
      <c r="H71" s="103"/>
      <c r="I71" s="91"/>
      <c r="J71" s="91"/>
      <c r="K71" s="91"/>
      <c r="L71" s="140" t="s">
        <v>78</v>
      </c>
      <c r="M71" s="104"/>
      <c r="N71" s="220"/>
      <c r="O71" s="220"/>
      <c r="P71" s="220"/>
      <c r="Q71" s="220"/>
      <c r="R71" s="220"/>
      <c r="S71" s="220"/>
      <c r="T71" s="220"/>
      <c r="U71" s="220"/>
      <c r="V71" s="220"/>
      <c r="W71" s="104"/>
      <c r="X71" s="104"/>
      <c r="Y71" s="104"/>
      <c r="Z71" s="104"/>
      <c r="AA71" s="104"/>
      <c r="AB71" s="104" t="s">
        <v>77</v>
      </c>
      <c r="AC71" s="108"/>
      <c r="AD71" s="109"/>
      <c r="AE71" s="109"/>
      <c r="AF71" s="109"/>
      <c r="AG71" s="109"/>
      <c r="AH71" s="110"/>
      <c r="AI71" s="110"/>
      <c r="AJ71" s="111"/>
      <c r="AK71" s="111"/>
      <c r="AL71" s="111"/>
      <c r="AM71" s="111"/>
      <c r="AN71" s="111"/>
      <c r="AO71" s="111"/>
      <c r="AP71" s="111"/>
      <c r="AQ71" t="str">
        <f t="shared" si="3"/>
        <v>ABBY ---  FlexiCapture</v>
      </c>
      <c r="BQ71"/>
    </row>
    <row r="72" spans="1:69" ht="15.75" customHeight="1">
      <c r="A72" s="102" t="s">
        <v>522</v>
      </c>
      <c r="B72" s="102" t="s">
        <v>522</v>
      </c>
      <c r="C72" s="102" t="s">
        <v>55</v>
      </c>
      <c r="D72" s="102"/>
      <c r="E72" s="103" t="s">
        <v>726</v>
      </c>
      <c r="F72" s="103"/>
      <c r="G72" s="103" t="s">
        <v>115</v>
      </c>
      <c r="H72" s="103"/>
      <c r="I72" s="91"/>
      <c r="J72" s="91"/>
      <c r="K72" s="91"/>
      <c r="L72" s="140" t="s">
        <v>78</v>
      </c>
      <c r="M72" s="104"/>
      <c r="N72" s="220"/>
      <c r="O72" s="220"/>
      <c r="P72" s="220"/>
      <c r="Q72" s="220"/>
      <c r="R72" s="220"/>
      <c r="S72" s="220"/>
      <c r="T72" s="220"/>
      <c r="U72" s="220"/>
      <c r="V72" s="220"/>
      <c r="W72" s="104"/>
      <c r="X72" s="104"/>
      <c r="Y72" s="104"/>
      <c r="Z72" s="104"/>
      <c r="AA72" s="104"/>
      <c r="AB72" s="104" t="s">
        <v>39</v>
      </c>
      <c r="AC72" s="108"/>
      <c r="AD72" s="109"/>
      <c r="AE72" s="109"/>
      <c r="AF72" s="109"/>
      <c r="AG72" s="109"/>
      <c r="AH72" s="110"/>
      <c r="AI72" s="110"/>
      <c r="AJ72" s="111"/>
      <c r="AK72" s="111"/>
      <c r="AL72" s="111"/>
      <c r="AM72" s="111"/>
      <c r="AN72" s="111"/>
      <c r="AO72" s="111"/>
      <c r="AP72" s="111"/>
      <c r="AQ72" t="str">
        <f t="shared" si="3"/>
        <v>JP Morgan ---  JP Morgan</v>
      </c>
      <c r="BQ72"/>
    </row>
    <row r="73" spans="1:69" ht="15.75" customHeight="1">
      <c r="A73" s="102" t="s">
        <v>517</v>
      </c>
      <c r="B73" s="102" t="s">
        <v>517</v>
      </c>
      <c r="C73" s="102" t="s">
        <v>55</v>
      </c>
      <c r="D73" s="102"/>
      <c r="E73" s="103" t="s">
        <v>726</v>
      </c>
      <c r="F73" s="103"/>
      <c r="G73" s="103" t="s">
        <v>518</v>
      </c>
      <c r="H73" s="103"/>
      <c r="I73" s="91"/>
      <c r="J73" s="91"/>
      <c r="K73" s="91"/>
      <c r="L73" s="140" t="s">
        <v>78</v>
      </c>
      <c r="M73" s="104"/>
      <c r="N73" s="220"/>
      <c r="O73" s="220"/>
      <c r="P73" s="220"/>
      <c r="Q73" s="220"/>
      <c r="R73" s="220"/>
      <c r="S73" s="220"/>
      <c r="T73" s="220"/>
      <c r="U73" s="220"/>
      <c r="V73" s="220"/>
      <c r="W73" s="104"/>
      <c r="X73" s="104"/>
      <c r="Y73" s="104"/>
      <c r="Z73" s="104"/>
      <c r="AA73" s="104"/>
      <c r="AB73" s="104" t="s">
        <v>77</v>
      </c>
      <c r="AC73" s="108"/>
      <c r="AD73" s="109"/>
      <c r="AE73" s="109"/>
      <c r="AF73" s="109" t="s">
        <v>77</v>
      </c>
      <c r="AG73" s="109"/>
      <c r="AH73" s="110"/>
      <c r="AI73" s="110"/>
      <c r="AJ73" s="111"/>
      <c r="AK73" s="111"/>
      <c r="AL73" s="111"/>
      <c r="AM73" s="111"/>
      <c r="AN73" s="111"/>
      <c r="AO73" s="111"/>
      <c r="AP73" s="111"/>
      <c r="AQ73" t="str">
        <f t="shared" si="3"/>
        <v>Workiva ---  Workiva</v>
      </c>
      <c r="BQ73"/>
    </row>
    <row r="74" spans="1:69" ht="15.75" customHeight="1">
      <c r="A74" s="102" t="s">
        <v>504</v>
      </c>
      <c r="B74" s="102" t="s">
        <v>731</v>
      </c>
      <c r="C74" s="102" t="s">
        <v>55</v>
      </c>
      <c r="D74" s="102"/>
      <c r="E74" s="103" t="s">
        <v>726</v>
      </c>
      <c r="F74" s="103"/>
      <c r="G74" s="103" t="s">
        <v>509</v>
      </c>
      <c r="H74" s="103"/>
      <c r="I74" s="85" t="s">
        <v>618</v>
      </c>
      <c r="J74" s="85"/>
      <c r="K74" s="85"/>
      <c r="L74" s="140" t="s">
        <v>39</v>
      </c>
      <c r="M74" s="104"/>
      <c r="N74" s="220"/>
      <c r="O74" s="220"/>
      <c r="P74" s="220"/>
      <c r="Q74" s="220"/>
      <c r="R74" s="220"/>
      <c r="S74" s="220"/>
      <c r="T74" s="220"/>
      <c r="U74" s="220"/>
      <c r="V74" s="221" t="s">
        <v>732</v>
      </c>
      <c r="W74" s="138"/>
      <c r="X74" s="118"/>
      <c r="Y74" s="104"/>
      <c r="Z74" s="104"/>
      <c r="AA74" s="104" t="s">
        <v>733</v>
      </c>
      <c r="AB74" s="104" t="s">
        <v>39</v>
      </c>
      <c r="AC74" s="108"/>
      <c r="AD74" s="109"/>
      <c r="AE74" s="109"/>
      <c r="AF74" s="109" t="s">
        <v>668</v>
      </c>
      <c r="AG74" s="109"/>
      <c r="AH74" s="110"/>
      <c r="AI74" s="110"/>
      <c r="AJ74" s="111"/>
      <c r="AK74" s="111"/>
      <c r="AL74" s="111"/>
      <c r="AM74" s="111"/>
      <c r="AN74" s="111"/>
      <c r="AO74" s="111"/>
      <c r="AP74" s="111"/>
      <c r="AQ74" t="str">
        <f t="shared" si="3"/>
        <v>Utilities International ---  UI Planner Forecasing UI Planner</v>
      </c>
      <c r="BQ74"/>
    </row>
    <row r="75" spans="1:69" ht="15.75" customHeight="1">
      <c r="A75" s="102" t="s">
        <v>404</v>
      </c>
      <c r="B75" s="102" t="s">
        <v>404</v>
      </c>
      <c r="C75" s="102" t="s">
        <v>55</v>
      </c>
      <c r="D75" s="102"/>
      <c r="E75" s="103" t="s">
        <v>726</v>
      </c>
      <c r="F75" s="103"/>
      <c r="G75" s="103" t="s">
        <v>138</v>
      </c>
      <c r="H75" s="103"/>
      <c r="I75" s="85" t="s">
        <v>618</v>
      </c>
      <c r="J75" s="85"/>
      <c r="K75" s="85"/>
      <c r="L75" s="140" t="s">
        <v>39</v>
      </c>
      <c r="M75" s="104"/>
      <c r="N75" s="220"/>
      <c r="O75" s="220"/>
      <c r="P75" s="220"/>
      <c r="Q75" s="220"/>
      <c r="R75" s="220"/>
      <c r="S75" s="220"/>
      <c r="T75" s="220"/>
      <c r="U75" s="220"/>
      <c r="V75" s="222" t="s">
        <v>734</v>
      </c>
      <c r="W75" s="137"/>
      <c r="X75" s="119" t="s">
        <v>735</v>
      </c>
      <c r="Y75" s="104" t="s">
        <v>736</v>
      </c>
      <c r="Z75" s="120">
        <v>46085</v>
      </c>
      <c r="AA75" s="104" t="s">
        <v>737</v>
      </c>
      <c r="AB75" s="104" t="s">
        <v>39</v>
      </c>
      <c r="AC75" s="108"/>
      <c r="AD75" s="109"/>
      <c r="AE75" s="109"/>
      <c r="AF75" s="109"/>
      <c r="AG75" s="109"/>
      <c r="AH75" s="110"/>
      <c r="AI75" s="110"/>
      <c r="AJ75" s="111"/>
      <c r="AK75" s="111"/>
      <c r="AL75" s="111"/>
      <c r="AM75" s="111"/>
      <c r="AN75" s="111"/>
      <c r="AO75" s="111"/>
      <c r="AP75" s="111"/>
      <c r="AQ75" t="str">
        <f t="shared" si="3"/>
        <v>OneStream ---  OneStream</v>
      </c>
      <c r="BQ75"/>
    </row>
    <row r="76" spans="1:69" ht="15.75" customHeight="1">
      <c r="A76" s="102" t="s">
        <v>438</v>
      </c>
      <c r="B76" s="102" t="s">
        <v>438</v>
      </c>
      <c r="C76" s="102" t="s">
        <v>55</v>
      </c>
      <c r="D76" s="102"/>
      <c r="E76" s="103" t="s">
        <v>726</v>
      </c>
      <c r="F76" s="103"/>
      <c r="G76" s="103" t="s">
        <v>138</v>
      </c>
      <c r="H76" s="103"/>
      <c r="I76" s="139" t="s">
        <v>618</v>
      </c>
      <c r="J76" s="139"/>
      <c r="K76" s="139"/>
      <c r="L76" s="140" t="s">
        <v>39</v>
      </c>
      <c r="M76" s="104"/>
      <c r="N76" s="220"/>
      <c r="O76" s="220"/>
      <c r="P76" s="220"/>
      <c r="Q76" s="220"/>
      <c r="R76" s="220"/>
      <c r="S76" s="220"/>
      <c r="T76" s="220"/>
      <c r="U76" s="220"/>
      <c r="V76" s="222" t="s">
        <v>738</v>
      </c>
      <c r="W76" s="137"/>
      <c r="X76" s="119" t="s">
        <v>739</v>
      </c>
      <c r="Y76" s="124" t="s">
        <v>740</v>
      </c>
      <c r="Z76" s="124" t="s">
        <v>741</v>
      </c>
      <c r="AA76" s="104" t="s">
        <v>733</v>
      </c>
      <c r="AB76" s="104" t="s">
        <v>39</v>
      </c>
      <c r="AC76" s="108"/>
      <c r="AD76" s="123" t="s">
        <v>742</v>
      </c>
      <c r="AE76" s="109"/>
      <c r="AF76" s="109"/>
      <c r="AG76" s="109"/>
      <c r="AH76" s="110"/>
      <c r="AI76" s="110"/>
      <c r="AJ76" s="111"/>
      <c r="AK76" s="111"/>
      <c r="AL76" s="111"/>
      <c r="AM76" s="111"/>
      <c r="AN76" s="111"/>
      <c r="AO76" s="111"/>
      <c r="AP76" s="111"/>
      <c r="AQ76" t="str">
        <f t="shared" si="3"/>
        <v>Powerplan ---  Powerplan</v>
      </c>
      <c r="BQ76"/>
    </row>
    <row r="77" spans="1:69" ht="15.75" customHeight="1">
      <c r="A77" s="102" t="s">
        <v>504</v>
      </c>
      <c r="B77" s="102" t="s">
        <v>505</v>
      </c>
      <c r="C77" s="102" t="s">
        <v>55</v>
      </c>
      <c r="D77" s="102"/>
      <c r="E77" s="103" t="s">
        <v>726</v>
      </c>
      <c r="F77" s="103"/>
      <c r="G77" s="103" t="s">
        <v>76</v>
      </c>
      <c r="H77" s="103"/>
      <c r="I77" s="85" t="s">
        <v>618</v>
      </c>
      <c r="J77" s="85"/>
      <c r="K77" s="85"/>
      <c r="L77" s="140" t="s">
        <v>39</v>
      </c>
      <c r="M77" s="104"/>
      <c r="N77" s="220"/>
      <c r="O77" s="220"/>
      <c r="P77" s="220"/>
      <c r="Q77" s="220"/>
      <c r="R77" s="220"/>
      <c r="S77" s="220"/>
      <c r="T77" s="220"/>
      <c r="U77" s="220"/>
      <c r="V77" s="221" t="s">
        <v>732</v>
      </c>
      <c r="W77" s="138"/>
      <c r="X77" s="118" t="s">
        <v>743</v>
      </c>
      <c r="Y77" s="104" t="s">
        <v>744</v>
      </c>
      <c r="Z77" s="120">
        <v>46077</v>
      </c>
      <c r="AA77" s="104" t="s">
        <v>733</v>
      </c>
      <c r="AB77" s="104" t="s">
        <v>39</v>
      </c>
      <c r="AC77" s="108"/>
      <c r="AD77" s="109"/>
      <c r="AE77" s="109"/>
      <c r="AF77" s="109" t="s">
        <v>668</v>
      </c>
      <c r="AG77" s="109"/>
      <c r="AH77" s="110"/>
      <c r="AI77" s="110"/>
      <c r="AJ77" s="111"/>
      <c r="AK77" s="111"/>
      <c r="AL77" s="111"/>
      <c r="AM77" s="111"/>
      <c r="AN77" s="111"/>
      <c r="AO77" s="111"/>
      <c r="AP77" s="111"/>
      <c r="AQ77" t="str">
        <f t="shared" si="3"/>
        <v>Utilities International ---  UI Budget &amp; Planning</v>
      </c>
      <c r="BQ77"/>
    </row>
    <row r="78" spans="1:69" ht="15.75" customHeight="1">
      <c r="A78" s="102" t="s">
        <v>53</v>
      </c>
      <c r="B78" s="102" t="s">
        <v>745</v>
      </c>
      <c r="C78" s="102" t="s">
        <v>55</v>
      </c>
      <c r="D78" s="102"/>
      <c r="E78" s="103" t="s">
        <v>726</v>
      </c>
      <c r="F78" s="103"/>
      <c r="G78" s="103" t="s">
        <v>56</v>
      </c>
      <c r="H78" s="103"/>
      <c r="I78" s="91"/>
      <c r="J78" s="91"/>
      <c r="K78" s="91"/>
      <c r="L78" s="140" t="s">
        <v>78</v>
      </c>
      <c r="M78" s="104"/>
      <c r="N78" s="220"/>
      <c r="O78" s="220"/>
      <c r="P78" s="220"/>
      <c r="Q78" s="220"/>
      <c r="R78" s="220"/>
      <c r="S78" s="220"/>
      <c r="T78" s="220"/>
      <c r="U78" s="220"/>
      <c r="V78" s="220"/>
      <c r="W78" s="104"/>
      <c r="X78" s="104"/>
      <c r="Y78" s="104"/>
      <c r="Z78" s="104"/>
      <c r="AA78" s="104"/>
      <c r="AB78" s="104" t="s">
        <v>39</v>
      </c>
      <c r="AC78" s="108"/>
      <c r="AD78" s="109"/>
      <c r="AE78" s="109"/>
      <c r="AF78" s="109" t="s">
        <v>668</v>
      </c>
      <c r="AG78" s="109"/>
      <c r="AH78" s="110"/>
      <c r="AI78" s="110"/>
      <c r="AJ78" s="111"/>
      <c r="AK78" s="111"/>
      <c r="AL78" s="111"/>
      <c r="AM78" s="111"/>
      <c r="AN78" s="111"/>
      <c r="AO78" s="111"/>
      <c r="AP78" s="111"/>
      <c r="AQ78" t="str">
        <f t="shared" si="3"/>
        <v>Blackline ---  Account Reconciliation Blackline</v>
      </c>
      <c r="BQ78"/>
    </row>
    <row r="79" spans="1:69" ht="15.75" customHeight="1">
      <c r="A79" s="102" t="s">
        <v>514</v>
      </c>
      <c r="B79" s="102" t="s">
        <v>746</v>
      </c>
      <c r="C79" s="102" t="s">
        <v>55</v>
      </c>
      <c r="D79" s="102"/>
      <c r="E79" s="103" t="s">
        <v>726</v>
      </c>
      <c r="F79" s="103"/>
      <c r="G79" s="103" t="s">
        <v>138</v>
      </c>
      <c r="H79" s="103"/>
      <c r="I79" s="139" t="s">
        <v>618</v>
      </c>
      <c r="J79" s="139"/>
      <c r="K79" s="139"/>
      <c r="L79" s="140" t="s">
        <v>39</v>
      </c>
      <c r="M79" s="104"/>
      <c r="N79" s="220"/>
      <c r="O79" s="220"/>
      <c r="P79" s="220"/>
      <c r="Q79" s="220"/>
      <c r="R79" s="220"/>
      <c r="S79" s="220"/>
      <c r="T79" s="220"/>
      <c r="U79" s="220"/>
      <c r="V79" s="221" t="s">
        <v>747</v>
      </c>
      <c r="W79" s="138"/>
      <c r="X79" s="118" t="s">
        <v>735</v>
      </c>
      <c r="Y79" s="104" t="s">
        <v>748</v>
      </c>
      <c r="Z79" s="120">
        <v>46085</v>
      </c>
      <c r="AA79" s="104" t="s">
        <v>737</v>
      </c>
      <c r="AB79" s="104" t="s">
        <v>39</v>
      </c>
      <c r="AC79" s="108"/>
      <c r="AD79" s="123" t="s">
        <v>749</v>
      </c>
      <c r="AE79" s="109">
        <v>443</v>
      </c>
      <c r="AF79" s="109"/>
      <c r="AG79" s="109"/>
      <c r="AH79" s="110"/>
      <c r="AI79" s="110"/>
      <c r="AJ79" s="111"/>
      <c r="AK79" s="111"/>
      <c r="AL79" s="111"/>
      <c r="AM79" s="111"/>
      <c r="AN79" s="111"/>
      <c r="AO79" s="111"/>
      <c r="AP79" s="111"/>
      <c r="AQ79" t="str">
        <f t="shared" si="3"/>
        <v>OpenText ---  VIM/IES VIM</v>
      </c>
      <c r="BQ79"/>
    </row>
    <row r="80" spans="1:69" ht="15.75" customHeight="1">
      <c r="A80" s="102" t="s">
        <v>88</v>
      </c>
      <c r="B80" s="102" t="s">
        <v>750</v>
      </c>
      <c r="C80" s="102" t="s">
        <v>55</v>
      </c>
      <c r="D80" s="102"/>
      <c r="E80" s="103" t="s">
        <v>726</v>
      </c>
      <c r="F80" s="103"/>
      <c r="G80" s="103" t="s">
        <v>89</v>
      </c>
      <c r="H80" s="103"/>
      <c r="I80" s="91"/>
      <c r="J80" s="91"/>
      <c r="K80" s="91"/>
      <c r="L80" s="140" t="s">
        <v>78</v>
      </c>
      <c r="M80" s="104"/>
      <c r="N80" s="220"/>
      <c r="O80" s="220"/>
      <c r="P80" s="220"/>
      <c r="Q80" s="220"/>
      <c r="R80" s="220"/>
      <c r="S80" s="220"/>
      <c r="T80" s="220"/>
      <c r="U80" s="220"/>
      <c r="V80" s="220"/>
      <c r="W80" s="104"/>
      <c r="X80" s="104"/>
      <c r="Y80" s="104"/>
      <c r="Z80" s="104"/>
      <c r="AA80" s="104"/>
      <c r="AB80" s="104" t="s">
        <v>78</v>
      </c>
      <c r="AC80" s="108"/>
      <c r="AD80" s="109"/>
      <c r="AE80" s="109"/>
      <c r="AF80" s="109"/>
      <c r="AG80" s="109"/>
      <c r="AH80" s="110"/>
      <c r="AI80" s="110"/>
      <c r="AJ80" s="111"/>
      <c r="AK80" s="111"/>
      <c r="AL80" s="111"/>
      <c r="AM80" s="111"/>
      <c r="AN80" s="111"/>
      <c r="AO80" s="111"/>
      <c r="AP80" s="111"/>
      <c r="AQ80" t="str">
        <f t="shared" si="3"/>
        <v xml:space="preserve">ASI ---  ASI </v>
      </c>
      <c r="BQ80"/>
    </row>
    <row r="81" spans="1:69" ht="15.75" customHeight="1">
      <c r="A81" s="102" t="s">
        <v>502</v>
      </c>
      <c r="B81" s="102" t="s">
        <v>751</v>
      </c>
      <c r="C81" s="102" t="s">
        <v>55</v>
      </c>
      <c r="D81" s="102"/>
      <c r="E81" s="103" t="s">
        <v>726</v>
      </c>
      <c r="F81" s="103"/>
      <c r="G81" s="103" t="s">
        <v>115</v>
      </c>
      <c r="H81" s="103"/>
      <c r="I81" s="91"/>
      <c r="J81" s="91"/>
      <c r="K81" s="91"/>
      <c r="L81" s="140" t="s">
        <v>78</v>
      </c>
      <c r="M81" s="104"/>
      <c r="N81" s="220"/>
      <c r="O81" s="220"/>
      <c r="P81" s="220"/>
      <c r="Q81" s="220"/>
      <c r="R81" s="220"/>
      <c r="S81" s="220"/>
      <c r="T81" s="220"/>
      <c r="U81" s="220"/>
      <c r="V81" s="220"/>
      <c r="W81" s="104"/>
      <c r="X81" s="104"/>
      <c r="Y81" s="104"/>
      <c r="Z81" s="104"/>
      <c r="AA81" s="104"/>
      <c r="AB81" s="104" t="s">
        <v>78</v>
      </c>
      <c r="AC81" s="108"/>
      <c r="AD81" s="109"/>
      <c r="AE81" s="109"/>
      <c r="AF81" s="109" t="s">
        <v>77</v>
      </c>
      <c r="AG81" s="109"/>
      <c r="AH81" s="110"/>
      <c r="AI81" s="110"/>
      <c r="AJ81" s="111"/>
      <c r="AK81" s="111"/>
      <c r="AL81" s="111"/>
      <c r="AM81" s="111"/>
      <c r="AN81" s="111"/>
      <c r="AO81" s="111"/>
      <c r="AP81" s="111"/>
      <c r="AQ81" t="str">
        <f t="shared" si="3"/>
        <v xml:space="preserve">Tovata ---  Trovata </v>
      </c>
      <c r="BQ81"/>
    </row>
    <row r="82" spans="1:69" ht="15.75" customHeight="1">
      <c r="A82" s="102" t="s">
        <v>58</v>
      </c>
      <c r="B82" s="102" t="s">
        <v>58</v>
      </c>
      <c r="C82" s="102" t="s">
        <v>55</v>
      </c>
      <c r="D82" s="102"/>
      <c r="E82" s="103" t="s">
        <v>726</v>
      </c>
      <c r="F82" s="103"/>
      <c r="G82" s="103" t="s">
        <v>523</v>
      </c>
      <c r="H82" s="103"/>
      <c r="I82" s="91"/>
      <c r="J82" s="91"/>
      <c r="K82" s="91"/>
      <c r="L82" s="140" t="s">
        <v>78</v>
      </c>
      <c r="M82" s="104"/>
      <c r="N82" s="220"/>
      <c r="O82" s="220"/>
      <c r="P82" s="220"/>
      <c r="Q82" s="220"/>
      <c r="R82" s="220"/>
      <c r="S82" s="220"/>
      <c r="T82" s="220"/>
      <c r="U82" s="220"/>
      <c r="V82" s="220"/>
      <c r="W82" s="104"/>
      <c r="X82" s="104"/>
      <c r="Y82" s="104"/>
      <c r="Z82" s="104"/>
      <c r="AA82" s="104"/>
      <c r="AB82" s="104" t="s">
        <v>78</v>
      </c>
      <c r="AC82" s="108"/>
      <c r="AD82" s="109"/>
      <c r="AE82" s="109"/>
      <c r="AF82" s="109"/>
      <c r="AG82" s="109"/>
      <c r="AH82" s="110"/>
      <c r="AI82" s="110"/>
      <c r="AJ82" s="111"/>
      <c r="AK82" s="111"/>
      <c r="AL82" s="111"/>
      <c r="AM82" s="111"/>
      <c r="AN82" s="111"/>
      <c r="AO82" s="111"/>
      <c r="AP82" s="111"/>
      <c r="AQ82" t="str">
        <f t="shared" si="3"/>
        <v>ACF Global Logistics ---  ACF Global Logistics</v>
      </c>
      <c r="BQ82"/>
    </row>
    <row r="83" spans="1:69" ht="15.75" customHeight="1">
      <c r="A83" s="102" t="s">
        <v>142</v>
      </c>
      <c r="B83" s="102" t="s">
        <v>143</v>
      </c>
      <c r="C83" s="102" t="s">
        <v>55</v>
      </c>
      <c r="D83" s="102"/>
      <c r="E83" s="103" t="s">
        <v>726</v>
      </c>
      <c r="F83" s="103"/>
      <c r="G83" s="103" t="s">
        <v>144</v>
      </c>
      <c r="H83" s="103"/>
      <c r="I83" s="85" t="s">
        <v>618</v>
      </c>
      <c r="J83" s="85"/>
      <c r="K83" s="85"/>
      <c r="L83" s="140" t="s">
        <v>39</v>
      </c>
      <c r="M83" s="104"/>
      <c r="N83" s="220"/>
      <c r="O83" s="220"/>
      <c r="P83" s="220"/>
      <c r="Q83" s="220"/>
      <c r="R83" s="220"/>
      <c r="S83" s="220"/>
      <c r="T83" s="220"/>
      <c r="U83" s="220"/>
      <c r="V83" s="221" t="s">
        <v>752</v>
      </c>
      <c r="W83" s="138"/>
      <c r="X83" s="118"/>
      <c r="Y83" s="104"/>
      <c r="Z83" s="104"/>
      <c r="AA83" s="104" t="s">
        <v>753</v>
      </c>
      <c r="AB83" s="104" t="s">
        <v>39</v>
      </c>
      <c r="AC83" s="108"/>
      <c r="AD83" s="109"/>
      <c r="AE83" s="109"/>
      <c r="AF83" s="109" t="s">
        <v>668</v>
      </c>
      <c r="AG83" s="109"/>
      <c r="AH83" s="110"/>
      <c r="AI83" s="110"/>
      <c r="AJ83" s="111"/>
      <c r="AK83" s="111"/>
      <c r="AL83" s="111"/>
      <c r="AM83" s="111"/>
      <c r="AN83" s="111"/>
      <c r="AO83" s="111"/>
      <c r="AP83" s="111"/>
      <c r="AQ83" t="str">
        <f t="shared" si="3"/>
        <v>CA ---  Clarity</v>
      </c>
      <c r="BQ83"/>
    </row>
    <row r="84" spans="1:69" ht="15.75" customHeight="1">
      <c r="A84" s="102" t="s">
        <v>136</v>
      </c>
      <c r="B84" s="102" t="s">
        <v>137</v>
      </c>
      <c r="C84" s="102" t="s">
        <v>55</v>
      </c>
      <c r="D84" s="102"/>
      <c r="E84" s="103" t="s">
        <v>726</v>
      </c>
      <c r="F84" s="103"/>
      <c r="G84" s="103" t="s">
        <v>138</v>
      </c>
      <c r="H84" s="103"/>
      <c r="I84" s="91"/>
      <c r="J84" s="91"/>
      <c r="K84" s="91"/>
      <c r="L84" s="140" t="s">
        <v>78</v>
      </c>
      <c r="M84" s="104"/>
      <c r="N84" s="220"/>
      <c r="O84" s="220"/>
      <c r="P84" s="220"/>
      <c r="Q84" s="220"/>
      <c r="R84" s="220"/>
      <c r="S84" s="220"/>
      <c r="T84" s="220"/>
      <c r="U84" s="220"/>
      <c r="V84" s="220"/>
      <c r="W84" s="104"/>
      <c r="X84" s="104"/>
      <c r="Y84" s="104"/>
      <c r="Z84" s="104"/>
      <c r="AA84" s="104"/>
      <c r="AB84" s="104" t="s">
        <v>78</v>
      </c>
      <c r="AC84" s="108"/>
      <c r="AD84" s="109"/>
      <c r="AE84" s="109"/>
      <c r="AF84" s="109" t="s">
        <v>77</v>
      </c>
      <c r="AG84" s="109"/>
      <c r="AH84" s="110"/>
      <c r="AI84" s="110"/>
      <c r="AJ84" s="111"/>
      <c r="AK84" s="111"/>
      <c r="AL84" s="111"/>
      <c r="AM84" s="111"/>
      <c r="AN84" s="111"/>
      <c r="AO84" s="111"/>
      <c r="AP84" s="111"/>
      <c r="AQ84" t="str">
        <f t="shared" si="3"/>
        <v>Korasoft ---  Cideon</v>
      </c>
      <c r="BQ84"/>
    </row>
    <row r="85" spans="1:69" ht="15.75" customHeight="1">
      <c r="A85" s="102" t="s">
        <v>521</v>
      </c>
      <c r="B85" s="102" t="s">
        <v>521</v>
      </c>
      <c r="C85" s="102" t="s">
        <v>55</v>
      </c>
      <c r="D85" s="102"/>
      <c r="E85" s="103" t="s">
        <v>726</v>
      </c>
      <c r="F85" s="103"/>
      <c r="G85" s="103" t="s">
        <v>285</v>
      </c>
      <c r="H85" s="103"/>
      <c r="I85" s="91"/>
      <c r="J85" s="91"/>
      <c r="K85" s="91"/>
      <c r="L85" s="140" t="s">
        <v>78</v>
      </c>
      <c r="M85" s="104"/>
      <c r="N85" s="220"/>
      <c r="O85" s="220"/>
      <c r="P85" s="220"/>
      <c r="Q85" s="220"/>
      <c r="R85" s="220"/>
      <c r="S85" s="220"/>
      <c r="T85" s="220"/>
      <c r="U85" s="220"/>
      <c r="V85" s="220"/>
      <c r="W85" s="104"/>
      <c r="X85" s="104"/>
      <c r="Y85" s="104"/>
      <c r="Z85" s="104"/>
      <c r="AA85" s="104"/>
      <c r="AB85" s="104" t="s">
        <v>77</v>
      </c>
      <c r="AC85" s="108"/>
      <c r="AD85" s="109"/>
      <c r="AE85" s="109"/>
      <c r="AF85" s="109"/>
      <c r="AG85" s="109"/>
      <c r="AH85" s="110"/>
      <c r="AI85" s="110"/>
      <c r="AJ85" s="111"/>
      <c r="AK85" s="111"/>
      <c r="AL85" s="111"/>
      <c r="AM85" s="111"/>
      <c r="AN85" s="111"/>
      <c r="AO85" s="111"/>
      <c r="AP85" s="111"/>
      <c r="AQ85" t="str">
        <f t="shared" si="3"/>
        <v>Ryan ---  Ryan</v>
      </c>
      <c r="BQ85"/>
    </row>
    <row r="86" spans="1:69" ht="15.75" customHeight="1">
      <c r="A86" s="102" t="s">
        <v>333</v>
      </c>
      <c r="B86" s="102" t="s">
        <v>334</v>
      </c>
      <c r="C86" s="102" t="s">
        <v>55</v>
      </c>
      <c r="D86" s="102"/>
      <c r="E86" s="103" t="s">
        <v>726</v>
      </c>
      <c r="F86" s="103"/>
      <c r="G86" s="103" t="s">
        <v>335</v>
      </c>
      <c r="H86" s="103"/>
      <c r="I86" s="91"/>
      <c r="J86" s="91"/>
      <c r="K86" s="91"/>
      <c r="L86" s="140" t="s">
        <v>78</v>
      </c>
      <c r="M86" s="104"/>
      <c r="N86" s="220"/>
      <c r="O86" s="220"/>
      <c r="P86" s="220"/>
      <c r="Q86" s="220"/>
      <c r="R86" s="220"/>
      <c r="S86" s="220"/>
      <c r="T86" s="220"/>
      <c r="U86" s="220"/>
      <c r="V86" s="220"/>
      <c r="W86" s="104"/>
      <c r="X86" s="104"/>
      <c r="Y86" s="104"/>
      <c r="Z86" s="104"/>
      <c r="AA86" s="104"/>
      <c r="AB86" s="104" t="s">
        <v>77</v>
      </c>
      <c r="AC86" s="108"/>
      <c r="AD86" s="109"/>
      <c r="AE86" s="109"/>
      <c r="AF86" s="109" t="s">
        <v>622</v>
      </c>
      <c r="AG86" s="109"/>
      <c r="AH86" s="110"/>
      <c r="AI86" s="110"/>
      <c r="AJ86" s="111"/>
      <c r="AK86" s="111"/>
      <c r="AL86" s="111"/>
      <c r="AM86" s="111"/>
      <c r="AN86" s="111"/>
      <c r="AO86" s="111"/>
      <c r="AP86" s="111"/>
      <c r="AQ86" t="str">
        <f t="shared" si="3"/>
        <v>Sabre ---  GetThere</v>
      </c>
      <c r="BQ86"/>
    </row>
    <row r="87" spans="1:69" ht="15.75" customHeight="1">
      <c r="A87" s="102" t="s">
        <v>124</v>
      </c>
      <c r="B87" s="102" t="s">
        <v>125</v>
      </c>
      <c r="C87" s="102" t="s">
        <v>55</v>
      </c>
      <c r="D87" s="102"/>
      <c r="E87" s="103" t="s">
        <v>726</v>
      </c>
      <c r="F87" s="103"/>
      <c r="G87" s="103" t="s">
        <v>126</v>
      </c>
      <c r="H87" s="103"/>
      <c r="I87" s="91"/>
      <c r="J87" s="91"/>
      <c r="K87" s="91"/>
      <c r="L87" s="140" t="s">
        <v>78</v>
      </c>
      <c r="M87" s="104"/>
      <c r="N87" s="220"/>
      <c r="O87" s="220"/>
      <c r="P87" s="220"/>
      <c r="Q87" s="220"/>
      <c r="R87" s="220"/>
      <c r="S87" s="220"/>
      <c r="T87" s="220"/>
      <c r="U87" s="220"/>
      <c r="V87" s="220"/>
      <c r="W87" s="104"/>
      <c r="X87" s="104"/>
      <c r="Y87" s="104"/>
      <c r="Z87" s="104"/>
      <c r="AA87" s="104"/>
      <c r="AB87" s="104" t="s">
        <v>78</v>
      </c>
      <c r="AC87" s="108"/>
      <c r="AD87" s="109"/>
      <c r="AE87" s="109"/>
      <c r="AF87" s="109" t="s">
        <v>668</v>
      </c>
      <c r="AG87" s="109"/>
      <c r="AH87" s="110"/>
      <c r="AI87" s="110"/>
      <c r="AJ87" s="111"/>
      <c r="AK87" s="111"/>
      <c r="AL87" s="111"/>
      <c r="AM87" s="111"/>
      <c r="AN87" s="111"/>
      <c r="AO87" s="111"/>
      <c r="AP87" s="111"/>
      <c r="AQ87" t="str">
        <f t="shared" si="3"/>
        <v>VeraSmart ---  Calero</v>
      </c>
      <c r="BQ87"/>
    </row>
    <row r="88" spans="1:69" ht="15.75" customHeight="1">
      <c r="A88" s="102" t="s">
        <v>458</v>
      </c>
      <c r="B88" s="102" t="s">
        <v>459</v>
      </c>
      <c r="C88" s="102" t="s">
        <v>111</v>
      </c>
      <c r="D88" s="102"/>
      <c r="E88" s="103" t="s">
        <v>754</v>
      </c>
      <c r="F88" s="103"/>
      <c r="G88" s="125" t="s">
        <v>401</v>
      </c>
      <c r="H88" s="125"/>
      <c r="I88" s="85" t="s">
        <v>618</v>
      </c>
      <c r="J88" s="85"/>
      <c r="K88" s="85"/>
      <c r="L88" s="140" t="s">
        <v>39</v>
      </c>
      <c r="M88" s="104"/>
      <c r="N88" s="220"/>
      <c r="O88" s="220"/>
      <c r="P88" s="220"/>
      <c r="Q88" s="220"/>
      <c r="R88" s="220"/>
      <c r="S88" s="220"/>
      <c r="T88" s="220"/>
      <c r="U88" s="220"/>
      <c r="V88" s="221" t="s">
        <v>755</v>
      </c>
      <c r="W88" s="138"/>
      <c r="X88" s="118"/>
      <c r="Y88" s="104"/>
      <c r="Z88" s="104"/>
      <c r="AA88" s="104" t="s">
        <v>756</v>
      </c>
      <c r="AB88" s="104" t="s">
        <v>39</v>
      </c>
      <c r="AC88" s="108"/>
      <c r="AD88" s="109"/>
      <c r="AE88" s="109"/>
      <c r="AF88" s="109"/>
      <c r="AG88" s="109"/>
      <c r="AH88" s="110"/>
      <c r="AI88" s="110"/>
      <c r="AJ88" s="111"/>
      <c r="AK88" s="111"/>
      <c r="AL88" s="111"/>
      <c r="AM88" s="111"/>
      <c r="AN88" s="111"/>
      <c r="AO88" s="111"/>
      <c r="AP88" s="111"/>
      <c r="AQ88" t="str">
        <f t="shared" si="3"/>
        <v>Attunity ---  SAP Data Refresh - Attunity Gold Client</v>
      </c>
      <c r="BQ88"/>
    </row>
    <row r="89" spans="1:69" ht="15.75" customHeight="1">
      <c r="A89" s="102" t="s">
        <v>110</v>
      </c>
      <c r="B89" s="102" t="s">
        <v>110</v>
      </c>
      <c r="C89" s="102" t="s">
        <v>111</v>
      </c>
      <c r="D89" s="102"/>
      <c r="E89" s="103" t="s">
        <v>754</v>
      </c>
      <c r="F89" s="103"/>
      <c r="G89" s="103" t="s">
        <v>112</v>
      </c>
      <c r="H89" s="125"/>
      <c r="I89" s="91"/>
      <c r="J89" s="91"/>
      <c r="K89" s="91"/>
      <c r="L89" s="140" t="s">
        <v>78</v>
      </c>
      <c r="M89" s="104"/>
      <c r="N89" s="220"/>
      <c r="O89" s="220"/>
      <c r="P89" s="220"/>
      <c r="Q89" s="220"/>
      <c r="R89" s="220"/>
      <c r="S89" s="220"/>
      <c r="T89" s="220"/>
      <c r="U89" s="220"/>
      <c r="V89" s="220"/>
      <c r="W89" s="104"/>
      <c r="X89" s="104"/>
      <c r="Y89" s="104"/>
      <c r="Z89" s="104"/>
      <c r="AA89" s="104"/>
      <c r="AB89" s="126"/>
      <c r="AC89" s="108"/>
      <c r="AD89" s="109"/>
      <c r="AE89" s="109"/>
      <c r="AF89" s="109" t="s">
        <v>77</v>
      </c>
      <c r="AG89" s="109"/>
      <c r="AH89" s="110"/>
      <c r="AI89" s="110"/>
      <c r="AJ89" s="111"/>
      <c r="AK89" s="111"/>
      <c r="AL89" s="111"/>
      <c r="AM89" s="111"/>
      <c r="AN89" s="111"/>
      <c r="AO89" s="111"/>
      <c r="AP89" s="111"/>
      <c r="AQ89" t="str">
        <f t="shared" si="3"/>
        <v>Biztalk  ---  Biztalk </v>
      </c>
      <c r="BQ89"/>
    </row>
    <row r="90" spans="1:69" ht="15.75" customHeight="1">
      <c r="A90" s="102" t="s">
        <v>279</v>
      </c>
      <c r="B90" s="102" t="s">
        <v>280</v>
      </c>
      <c r="C90" s="102" t="s">
        <v>111</v>
      </c>
      <c r="D90" s="102"/>
      <c r="E90" s="103" t="s">
        <v>754</v>
      </c>
      <c r="F90" s="103"/>
      <c r="G90" s="103" t="s">
        <v>112</v>
      </c>
      <c r="H90" s="103"/>
      <c r="I90" s="91"/>
      <c r="J90" s="91"/>
      <c r="K90" s="91"/>
      <c r="L90" s="140" t="s">
        <v>78</v>
      </c>
      <c r="M90" s="104"/>
      <c r="N90" s="220"/>
      <c r="O90" s="220"/>
      <c r="P90" s="220"/>
      <c r="Q90" s="220"/>
      <c r="R90" s="220"/>
      <c r="S90" s="220"/>
      <c r="T90" s="220"/>
      <c r="U90" s="220"/>
      <c r="V90" s="220"/>
      <c r="W90" s="104"/>
      <c r="X90" s="104"/>
      <c r="Y90" s="104"/>
      <c r="Z90" s="104"/>
      <c r="AA90" s="104"/>
      <c r="AB90" s="104"/>
      <c r="AC90" s="108"/>
      <c r="AD90" s="109"/>
      <c r="AE90" s="109"/>
      <c r="AF90" s="109"/>
      <c r="AG90" s="109"/>
      <c r="AH90" s="110"/>
      <c r="AI90" s="110"/>
      <c r="AJ90" s="111"/>
      <c r="AK90" s="111"/>
      <c r="AL90" s="111"/>
      <c r="AM90" s="111"/>
      <c r="AN90" s="111"/>
      <c r="AO90" s="111"/>
      <c r="AP90" s="111"/>
      <c r="AQ90" t="str">
        <f t="shared" si="3"/>
        <v>FirstLogic ---  FirstLogic Ace</v>
      </c>
      <c r="BQ90"/>
    </row>
    <row r="91" spans="1:69" ht="15.75" customHeight="1">
      <c r="A91" s="102" t="s">
        <v>351</v>
      </c>
      <c r="B91" s="102" t="s">
        <v>352</v>
      </c>
      <c r="C91" s="102" t="s">
        <v>111</v>
      </c>
      <c r="D91" s="102"/>
      <c r="E91" s="103" t="s">
        <v>754</v>
      </c>
      <c r="F91" s="103"/>
      <c r="G91" s="103" t="s">
        <v>112</v>
      </c>
      <c r="H91" s="125"/>
      <c r="I91" s="91"/>
      <c r="J91" s="91"/>
      <c r="K91" s="91"/>
      <c r="L91" s="140" t="s">
        <v>78</v>
      </c>
      <c r="M91" s="104"/>
      <c r="N91" s="220"/>
      <c r="O91" s="220"/>
      <c r="P91" s="220"/>
      <c r="Q91" s="220"/>
      <c r="R91" s="220"/>
      <c r="S91" s="220"/>
      <c r="T91" s="220"/>
      <c r="U91" s="220"/>
      <c r="V91" s="220"/>
      <c r="W91" s="104"/>
      <c r="X91" s="104"/>
      <c r="Y91" s="104"/>
      <c r="Z91" s="104"/>
      <c r="AA91" s="104"/>
      <c r="AB91" s="126"/>
      <c r="AC91" s="108"/>
      <c r="AD91" s="109" t="s">
        <v>757</v>
      </c>
      <c r="AE91" s="109"/>
      <c r="AF91" s="109"/>
      <c r="AG91" s="109"/>
      <c r="AH91" s="110"/>
      <c r="AI91" s="110"/>
      <c r="AJ91" s="111"/>
      <c r="AK91" s="111"/>
      <c r="AL91" s="111"/>
      <c r="AM91" s="111"/>
      <c r="AN91" s="111"/>
      <c r="AO91" s="111"/>
      <c r="AP91" s="111"/>
      <c r="AQ91" t="str">
        <f t="shared" si="3"/>
        <v>ISIS Papyrus ---  ISIS</v>
      </c>
      <c r="BQ91"/>
    </row>
    <row r="92" spans="1:69" ht="15.75" customHeight="1">
      <c r="A92" s="102" t="s">
        <v>460</v>
      </c>
      <c r="B92" s="102" t="s">
        <v>461</v>
      </c>
      <c r="C92" s="102" t="s">
        <v>111</v>
      </c>
      <c r="D92" s="102"/>
      <c r="E92" s="103" t="s">
        <v>754</v>
      </c>
      <c r="F92" s="103"/>
      <c r="G92" s="125" t="s">
        <v>401</v>
      </c>
      <c r="H92" s="125"/>
      <c r="I92" s="91"/>
      <c r="J92" s="91"/>
      <c r="K92" s="91"/>
      <c r="L92" s="140" t="s">
        <v>78</v>
      </c>
      <c r="M92" s="104"/>
      <c r="N92" s="220"/>
      <c r="O92" s="220"/>
      <c r="P92" s="220"/>
      <c r="Q92" s="220"/>
      <c r="R92" s="220"/>
      <c r="S92" s="220"/>
      <c r="T92" s="220"/>
      <c r="U92" s="220"/>
      <c r="V92" s="220"/>
      <c r="W92" s="104"/>
      <c r="X92" s="104"/>
      <c r="Y92" s="104"/>
      <c r="Z92" s="104"/>
      <c r="AA92" s="104"/>
      <c r="AB92" s="126"/>
      <c r="AC92" s="108"/>
      <c r="AD92" s="109"/>
      <c r="AE92" s="109"/>
      <c r="AF92" s="109"/>
      <c r="AG92" s="109"/>
      <c r="AH92" s="110"/>
      <c r="AI92" s="110"/>
      <c r="AJ92" s="111"/>
      <c r="AK92" s="111"/>
      <c r="AL92" s="111"/>
      <c r="AM92" s="111"/>
      <c r="AN92" s="111"/>
      <c r="AO92" s="111"/>
      <c r="AP92" s="111"/>
      <c r="AQ92" t="str">
        <f t="shared" si="3"/>
        <v>Libelle ---  SAP Data Refresh - Libelle System Copy</v>
      </c>
      <c r="BQ92"/>
    </row>
    <row r="93" spans="1:69" ht="15.75" customHeight="1">
      <c r="A93" s="102" t="s">
        <v>399</v>
      </c>
      <c r="B93" s="102" t="s">
        <v>400</v>
      </c>
      <c r="C93" s="102" t="s">
        <v>111</v>
      </c>
      <c r="D93" s="102"/>
      <c r="E93" s="103" t="s">
        <v>754</v>
      </c>
      <c r="F93" s="103"/>
      <c r="G93" s="125" t="s">
        <v>401</v>
      </c>
      <c r="H93" s="125"/>
      <c r="I93" s="85" t="s">
        <v>618</v>
      </c>
      <c r="J93" s="85"/>
      <c r="K93" s="85"/>
      <c r="L93" s="140" t="s">
        <v>39</v>
      </c>
      <c r="M93" s="104"/>
      <c r="N93" s="220"/>
      <c r="O93" s="220"/>
      <c r="P93" s="220"/>
      <c r="Q93" s="220"/>
      <c r="R93" s="220"/>
      <c r="S93" s="220"/>
      <c r="T93" s="220"/>
      <c r="U93" s="220"/>
      <c r="V93" s="223" t="s">
        <v>758</v>
      </c>
      <c r="W93" s="127"/>
      <c r="X93" s="105" t="s">
        <v>759</v>
      </c>
      <c r="Y93" s="122" t="s">
        <v>760</v>
      </c>
      <c r="Z93" s="107">
        <v>46085</v>
      </c>
      <c r="AA93" s="104" t="s">
        <v>761</v>
      </c>
      <c r="AB93" s="104" t="s">
        <v>39</v>
      </c>
      <c r="AC93" s="108"/>
      <c r="AD93" s="109"/>
      <c r="AE93" s="109"/>
      <c r="AF93" s="109"/>
      <c r="AG93" s="109"/>
      <c r="AH93" s="110"/>
      <c r="AI93" s="110"/>
      <c r="AJ93" s="111"/>
      <c r="AK93" s="111"/>
      <c r="AL93" s="111"/>
      <c r="AM93" s="111"/>
      <c r="AN93" s="111"/>
      <c r="AO93" s="111"/>
      <c r="AP93" s="111"/>
      <c r="AQ93" t="str">
        <f t="shared" si="3"/>
        <v>ONAPSIS  ---  Onapsis Security Platform</v>
      </c>
      <c r="BQ93"/>
    </row>
    <row r="94" spans="1:69" ht="15.75" customHeight="1">
      <c r="A94" s="102" t="s">
        <v>449</v>
      </c>
      <c r="B94" s="102" t="s">
        <v>450</v>
      </c>
      <c r="C94" s="102" t="s">
        <v>111</v>
      </c>
      <c r="D94" s="102"/>
      <c r="E94" s="103" t="s">
        <v>754</v>
      </c>
      <c r="F94" s="103"/>
      <c r="G94" s="125" t="s">
        <v>401</v>
      </c>
      <c r="H94" s="125"/>
      <c r="I94" s="85" t="s">
        <v>618</v>
      </c>
      <c r="J94" s="85"/>
      <c r="K94" s="85"/>
      <c r="L94" s="140" t="s">
        <v>39</v>
      </c>
      <c r="M94" s="104"/>
      <c r="N94" s="220"/>
      <c r="O94" s="220"/>
      <c r="P94" s="220"/>
      <c r="Q94" s="220"/>
      <c r="R94" s="220"/>
      <c r="S94" s="220"/>
      <c r="T94" s="220"/>
      <c r="U94" s="220"/>
      <c r="V94" s="224" t="s">
        <v>762</v>
      </c>
      <c r="W94" s="121"/>
      <c r="X94" s="105" t="s">
        <v>763</v>
      </c>
      <c r="Y94" s="122" t="s">
        <v>764</v>
      </c>
      <c r="Z94" s="107">
        <v>46077</v>
      </c>
      <c r="AA94" s="104" t="s">
        <v>761</v>
      </c>
      <c r="AB94" s="104" t="s">
        <v>39</v>
      </c>
      <c r="AC94" s="108"/>
      <c r="AD94" s="109"/>
      <c r="AE94" s="109"/>
      <c r="AF94" s="109" t="s">
        <v>622</v>
      </c>
      <c r="AG94" s="109"/>
      <c r="AH94" s="110"/>
      <c r="AI94" s="110"/>
      <c r="AJ94" s="111"/>
      <c r="AK94" s="111"/>
      <c r="AL94" s="111"/>
      <c r="AM94" s="111"/>
      <c r="AN94" s="111"/>
      <c r="AO94" s="111"/>
      <c r="AP94" s="111"/>
      <c r="AQ94" t="str">
        <f t="shared" si="3"/>
        <v>Redwood (Run my job) ---  Redwood Job Scheduling</v>
      </c>
      <c r="BQ94"/>
    </row>
    <row r="95" spans="1:69" ht="15.75" customHeight="1">
      <c r="A95" s="102" t="s">
        <v>765</v>
      </c>
      <c r="B95" s="102" t="s">
        <v>765</v>
      </c>
      <c r="C95" s="102" t="s">
        <v>111</v>
      </c>
      <c r="D95" s="102"/>
      <c r="E95" s="103" t="s">
        <v>754</v>
      </c>
      <c r="F95" s="103"/>
      <c r="G95" s="103" t="s">
        <v>766</v>
      </c>
      <c r="H95" s="112"/>
      <c r="I95" s="85" t="s">
        <v>618</v>
      </c>
      <c r="J95" s="85"/>
      <c r="K95" s="85"/>
      <c r="L95" s="219" t="s">
        <v>39</v>
      </c>
      <c r="M95" s="113"/>
      <c r="N95" s="228"/>
      <c r="O95" s="228"/>
      <c r="P95" s="228"/>
      <c r="Q95" s="228"/>
      <c r="R95" s="228"/>
      <c r="S95" s="228"/>
      <c r="T95" s="228"/>
      <c r="U95" s="228"/>
      <c r="V95" s="223" t="s">
        <v>767</v>
      </c>
      <c r="W95" s="127"/>
      <c r="X95" s="105" t="s">
        <v>768</v>
      </c>
      <c r="Y95" s="122" t="s">
        <v>769</v>
      </c>
      <c r="Z95" s="107">
        <v>46080</v>
      </c>
      <c r="AA95" s="113" t="s">
        <v>761</v>
      </c>
      <c r="AB95" s="104" t="s">
        <v>39</v>
      </c>
      <c r="AC95" s="108"/>
      <c r="AD95" s="109"/>
      <c r="AE95" s="109"/>
      <c r="AF95" s="109" t="s">
        <v>770</v>
      </c>
      <c r="AG95" s="109"/>
      <c r="AH95" s="110"/>
      <c r="AI95" s="110"/>
      <c r="AJ95" s="111"/>
      <c r="AK95" s="111"/>
      <c r="AL95" s="111"/>
      <c r="AM95" s="111"/>
      <c r="AN95" s="111"/>
      <c r="AO95" s="111"/>
      <c r="AP95" s="111"/>
      <c r="AQ95" t="str">
        <f t="shared" si="3"/>
        <v>Saviynt ---  Saviynt</v>
      </c>
      <c r="BQ95"/>
    </row>
    <row r="96" spans="1:69" ht="15.75" customHeight="1">
      <c r="A96" s="102" t="s">
        <v>340</v>
      </c>
      <c r="B96" s="102" t="s">
        <v>465</v>
      </c>
      <c r="C96" s="102" t="s">
        <v>50</v>
      </c>
      <c r="D96" s="102"/>
      <c r="E96" s="103" t="s">
        <v>771</v>
      </c>
      <c r="F96" s="103"/>
      <c r="G96" s="103" t="s">
        <v>772</v>
      </c>
      <c r="H96" t="s">
        <v>773</v>
      </c>
      <c r="I96" s="91"/>
      <c r="J96" s="91"/>
      <c r="K96" s="91"/>
      <c r="L96" s="140" t="s">
        <v>78</v>
      </c>
      <c r="M96" s="104"/>
      <c r="N96" s="220"/>
      <c r="O96" s="220"/>
      <c r="P96" s="220"/>
      <c r="Q96" s="220"/>
      <c r="R96" s="220"/>
      <c r="S96" s="220"/>
      <c r="T96" s="220"/>
      <c r="U96" s="220"/>
      <c r="V96" s="220"/>
      <c r="W96" s="104" t="s">
        <v>609</v>
      </c>
      <c r="X96" s="104"/>
      <c r="Y96" s="104"/>
      <c r="Z96" s="104"/>
      <c r="AA96" s="104"/>
      <c r="AB96" s="104" t="s">
        <v>39</v>
      </c>
      <c r="AC96" s="108"/>
      <c r="AD96" s="109"/>
      <c r="AE96" s="109"/>
      <c r="AF96" s="109" t="s">
        <v>77</v>
      </c>
      <c r="AG96" s="109"/>
      <c r="AH96" s="110"/>
      <c r="AI96" s="110"/>
      <c r="AJ96" s="111"/>
      <c r="AK96" s="111"/>
      <c r="AL96" s="111"/>
      <c r="AM96" s="111"/>
      <c r="AN96" s="111"/>
      <c r="AO96" s="111"/>
      <c r="AP96" s="111"/>
      <c r="AQ96" t="str">
        <f t="shared" si="3"/>
        <v>Sodales ---  Seniority</v>
      </c>
      <c r="BQ96"/>
    </row>
    <row r="97" spans="1:69" ht="15.75" customHeight="1">
      <c r="A97" s="102" t="s">
        <v>340</v>
      </c>
      <c r="B97" s="102" t="s">
        <v>341</v>
      </c>
      <c r="C97" s="102" t="s">
        <v>50</v>
      </c>
      <c r="D97" s="102"/>
      <c r="E97" s="103" t="s">
        <v>771</v>
      </c>
      <c r="F97" s="103"/>
      <c r="G97" s="103" t="s">
        <v>772</v>
      </c>
      <c r="H97" t="s">
        <v>773</v>
      </c>
      <c r="I97" s="91"/>
      <c r="J97" s="91"/>
      <c r="K97" s="91"/>
      <c r="L97" s="140" t="s">
        <v>78</v>
      </c>
      <c r="M97" s="104"/>
      <c r="N97" s="220"/>
      <c r="O97" s="220"/>
      <c r="P97" s="220"/>
      <c r="Q97" s="220"/>
      <c r="R97" s="220"/>
      <c r="S97" s="220"/>
      <c r="T97" s="220"/>
      <c r="U97" s="220"/>
      <c r="V97" s="220"/>
      <c r="W97" s="104" t="s">
        <v>609</v>
      </c>
      <c r="X97" s="104"/>
      <c r="Y97" s="104"/>
      <c r="Z97" s="104"/>
      <c r="AA97" s="104"/>
      <c r="AB97" s="104" t="s">
        <v>39</v>
      </c>
      <c r="AC97" s="108"/>
      <c r="AD97" s="109"/>
      <c r="AE97" s="109"/>
      <c r="AF97" s="109"/>
      <c r="AG97" s="109"/>
      <c r="AH97" s="110"/>
      <c r="AI97" s="110"/>
      <c r="AJ97" s="111"/>
      <c r="AK97" s="111"/>
      <c r="AL97" s="111"/>
      <c r="AM97" s="111"/>
      <c r="AN97" s="111"/>
      <c r="AO97" s="111"/>
      <c r="AP97" s="111"/>
      <c r="AQ97" t="str">
        <f t="shared" si="3"/>
        <v>Sodales ---  Grievance</v>
      </c>
      <c r="BQ97"/>
    </row>
    <row r="98" spans="1:69" ht="15.75" customHeight="1">
      <c r="A98" s="102" t="s">
        <v>340</v>
      </c>
      <c r="B98" s="102" t="s">
        <v>367</v>
      </c>
      <c r="C98" s="102" t="s">
        <v>50</v>
      </c>
      <c r="D98" s="102"/>
      <c r="E98" s="103" t="s">
        <v>771</v>
      </c>
      <c r="F98" s="103"/>
      <c r="G98" s="103" t="s">
        <v>772</v>
      </c>
      <c r="H98" t="s">
        <v>773</v>
      </c>
      <c r="I98" s="91"/>
      <c r="J98" s="91"/>
      <c r="K98" s="91"/>
      <c r="L98" s="140" t="s">
        <v>78</v>
      </c>
      <c r="M98" s="104"/>
      <c r="N98" s="220"/>
      <c r="O98" s="220"/>
      <c r="P98" s="220"/>
      <c r="Q98" s="220"/>
      <c r="R98" s="220"/>
      <c r="S98" s="220"/>
      <c r="T98" s="220"/>
      <c r="U98" s="220"/>
      <c r="V98" s="220"/>
      <c r="W98" s="104" t="s">
        <v>609</v>
      </c>
      <c r="X98" s="104"/>
      <c r="Y98" s="104"/>
      <c r="Z98" s="104"/>
      <c r="AA98" s="104"/>
      <c r="AB98" s="104" t="s">
        <v>39</v>
      </c>
      <c r="AC98" s="108"/>
      <c r="AD98" s="109"/>
      <c r="AE98" s="109"/>
      <c r="AF98" s="109"/>
      <c r="AG98" s="109"/>
      <c r="AH98" s="110"/>
      <c r="AI98" s="110"/>
      <c r="AJ98" s="111"/>
      <c r="AK98" s="111"/>
      <c r="AL98" s="111"/>
      <c r="AM98" s="111"/>
      <c r="AN98" s="111"/>
      <c r="AO98" s="111"/>
      <c r="AP98" s="111"/>
      <c r="AQ98" t="str">
        <f t="shared" si="3"/>
        <v>Sodales ---  Job Bidding</v>
      </c>
      <c r="BQ98"/>
    </row>
    <row r="99" spans="1:69" ht="15.75" customHeight="1">
      <c r="A99" s="102" t="s">
        <v>374</v>
      </c>
      <c r="B99" s="102" t="s">
        <v>774</v>
      </c>
      <c r="C99" s="102" t="s">
        <v>50</v>
      </c>
      <c r="D99" s="102"/>
      <c r="E99" s="103" t="s">
        <v>771</v>
      </c>
      <c r="F99" s="103"/>
      <c r="G99" s="103" t="s">
        <v>771</v>
      </c>
      <c r="H99" s="112"/>
      <c r="I99" s="91"/>
      <c r="J99" s="91"/>
      <c r="K99" s="91"/>
      <c r="L99" s="140" t="s">
        <v>78</v>
      </c>
      <c r="M99" s="104"/>
      <c r="N99" s="220"/>
      <c r="O99" s="220"/>
      <c r="P99" s="220"/>
      <c r="Q99" s="220"/>
      <c r="R99" s="220"/>
      <c r="S99" s="220"/>
      <c r="T99" s="220"/>
      <c r="U99" s="220"/>
      <c r="V99" s="220"/>
      <c r="W99" s="104" t="s">
        <v>609</v>
      </c>
      <c r="X99" s="104"/>
      <c r="Y99" s="104"/>
      <c r="Z99" s="104"/>
      <c r="AA99" s="104"/>
      <c r="AB99" s="113"/>
      <c r="AC99" s="108"/>
      <c r="AD99" s="109"/>
      <c r="AE99" s="109"/>
      <c r="AF99" s="109"/>
      <c r="AG99" s="109"/>
      <c r="AH99" s="110"/>
      <c r="AI99" s="110"/>
      <c r="AJ99" s="111"/>
      <c r="AK99" s="111"/>
      <c r="AL99" s="111"/>
      <c r="AM99" s="111"/>
      <c r="AN99" s="111"/>
      <c r="AO99" s="111"/>
      <c r="AP99" s="111"/>
      <c r="AQ99" t="str">
        <f t="shared" si="3"/>
        <v>State of MI ---  EDI Payment Consolidators P&amp;C EDIs</v>
      </c>
      <c r="BQ99"/>
    </row>
    <row r="100" spans="1:69" ht="15.75" customHeight="1">
      <c r="A100" s="102" t="s">
        <v>466</v>
      </c>
      <c r="B100" s="102" t="s">
        <v>775</v>
      </c>
      <c r="C100" s="102" t="s">
        <v>50</v>
      </c>
      <c r="D100" s="102"/>
      <c r="E100" s="103" t="s">
        <v>771</v>
      </c>
      <c r="F100" s="103"/>
      <c r="G100" s="103" t="s">
        <v>468</v>
      </c>
      <c r="H100" s="103" t="s">
        <v>77</v>
      </c>
      <c r="I100" s="91"/>
      <c r="J100" s="91"/>
      <c r="K100" s="91"/>
      <c r="L100" s="140" t="s">
        <v>78</v>
      </c>
      <c r="M100" s="104"/>
      <c r="N100" s="220"/>
      <c r="O100" s="220"/>
      <c r="P100" s="220"/>
      <c r="Q100" s="220"/>
      <c r="R100" s="220"/>
      <c r="S100" s="220"/>
      <c r="T100" s="220"/>
      <c r="U100" s="220"/>
      <c r="V100" s="220"/>
      <c r="W100" s="104" t="s">
        <v>609</v>
      </c>
      <c r="X100" s="104"/>
      <c r="Y100" s="104"/>
      <c r="Z100" s="104"/>
      <c r="AA100" s="104"/>
      <c r="AB100" s="104"/>
      <c r="AC100" s="108"/>
      <c r="AD100" s="109"/>
      <c r="AE100" s="109"/>
      <c r="AF100" s="109"/>
      <c r="AG100" s="109"/>
      <c r="AH100" s="110"/>
      <c r="AI100" s="110"/>
      <c r="AJ100" s="111"/>
      <c r="AK100" s="111"/>
      <c r="AL100" s="111"/>
      <c r="AM100" s="111"/>
      <c r="AN100" s="111"/>
      <c r="AO100" s="111"/>
      <c r="AP100" s="111"/>
      <c r="AQ100" t="str">
        <f t="shared" si="3"/>
        <v>Service Now HR ---  Service Now Service Now HR</v>
      </c>
      <c r="BQ100"/>
    </row>
    <row r="101" spans="1:69" ht="15.75" customHeight="1">
      <c r="A101" s="102" t="s">
        <v>168</v>
      </c>
      <c r="B101" s="102" t="s">
        <v>169</v>
      </c>
      <c r="C101" s="102" t="s">
        <v>50</v>
      </c>
      <c r="D101" s="102"/>
      <c r="E101" s="103" t="s">
        <v>771</v>
      </c>
      <c r="F101" s="103"/>
      <c r="G101" s="103" t="s">
        <v>776</v>
      </c>
      <c r="H101" s="180" t="s">
        <v>777</v>
      </c>
      <c r="I101" s="91"/>
      <c r="J101" s="91"/>
      <c r="K101" s="91"/>
      <c r="L101" s="140" t="s">
        <v>78</v>
      </c>
      <c r="M101" s="104"/>
      <c r="N101" s="220"/>
      <c r="O101" s="220"/>
      <c r="P101" s="220"/>
      <c r="Q101" s="220"/>
      <c r="R101" s="220"/>
      <c r="S101" s="220"/>
      <c r="T101" s="220"/>
      <c r="U101" s="220"/>
      <c r="V101" s="220"/>
      <c r="W101" s="104" t="s">
        <v>609</v>
      </c>
      <c r="X101" s="104"/>
      <c r="Y101" s="104"/>
      <c r="Z101" s="104"/>
      <c r="AA101" s="104"/>
      <c r="AB101" s="104" t="s">
        <v>39</v>
      </c>
      <c r="AC101" s="108"/>
      <c r="AD101" s="109"/>
      <c r="AE101" s="109"/>
      <c r="AF101" s="109"/>
      <c r="AG101" s="109"/>
      <c r="AH101" s="110"/>
      <c r="AI101" s="110"/>
      <c r="AJ101" s="111"/>
      <c r="AK101" s="111"/>
      <c r="AL101" s="111"/>
      <c r="AM101" s="111"/>
      <c r="AN101" s="111"/>
      <c r="AO101" s="111"/>
      <c r="AP101" s="111"/>
      <c r="AQ101" t="str">
        <f t="shared" si="3"/>
        <v>CompOne (Replacing Broadspire) ---  CompOne</v>
      </c>
      <c r="BQ101"/>
    </row>
    <row r="102" spans="1:69" ht="15.75" customHeight="1">
      <c r="A102" s="102" t="s">
        <v>48</v>
      </c>
      <c r="B102" s="102" t="s">
        <v>169</v>
      </c>
      <c r="C102" s="102" t="s">
        <v>50</v>
      </c>
      <c r="D102" s="102"/>
      <c r="E102" s="103" t="s">
        <v>771</v>
      </c>
      <c r="F102" s="103"/>
      <c r="G102" s="103" t="s">
        <v>776</v>
      </c>
      <c r="H102" s="180" t="s">
        <v>777</v>
      </c>
      <c r="I102" s="91"/>
      <c r="J102" s="91"/>
      <c r="K102" s="91"/>
      <c r="L102" s="140" t="s">
        <v>78</v>
      </c>
      <c r="M102" s="104"/>
      <c r="N102" s="220"/>
      <c r="O102" s="220"/>
      <c r="P102" s="220"/>
      <c r="Q102" s="220"/>
      <c r="R102" s="220"/>
      <c r="S102" s="220"/>
      <c r="T102" s="220"/>
      <c r="U102" s="220"/>
      <c r="V102" s="220"/>
      <c r="W102" s="104" t="s">
        <v>609</v>
      </c>
      <c r="X102" s="104"/>
      <c r="Y102" s="104"/>
      <c r="Z102" s="104"/>
      <c r="AA102" s="104"/>
      <c r="AB102" s="104" t="s">
        <v>39</v>
      </c>
      <c r="AC102" s="108"/>
      <c r="AD102" s="109"/>
      <c r="AE102" s="109"/>
      <c r="AF102" s="109"/>
      <c r="AG102" s="109"/>
      <c r="AH102" s="110"/>
      <c r="AI102" s="110"/>
      <c r="AJ102" s="111"/>
      <c r="AK102" s="111"/>
      <c r="AL102" s="111"/>
      <c r="AM102" s="111"/>
      <c r="AN102" s="111"/>
      <c r="AO102" s="111"/>
      <c r="AP102" s="111"/>
      <c r="AQ102" t="str">
        <f t="shared" si="3"/>
        <v>Absence Plus (Replacing Reed Group) ---  CompOne</v>
      </c>
      <c r="BQ102"/>
    </row>
    <row r="103" spans="1:69" ht="15.75" customHeight="1">
      <c r="A103" s="102" t="s">
        <v>96</v>
      </c>
      <c r="B103" s="102" t="s">
        <v>96</v>
      </c>
      <c r="C103" s="102" t="s">
        <v>50</v>
      </c>
      <c r="D103" s="102"/>
      <c r="E103" s="103" t="s">
        <v>771</v>
      </c>
      <c r="F103" s="103"/>
      <c r="G103" s="103" t="s">
        <v>778</v>
      </c>
      <c r="H103" s="103"/>
      <c r="I103" s="91"/>
      <c r="J103" s="91"/>
      <c r="K103" s="91"/>
      <c r="L103" s="140" t="s">
        <v>78</v>
      </c>
      <c r="M103" s="104"/>
      <c r="N103" s="220"/>
      <c r="O103" s="220"/>
      <c r="P103" s="220"/>
      <c r="Q103" s="220"/>
      <c r="R103" s="220"/>
      <c r="S103" s="220"/>
      <c r="T103" s="220"/>
      <c r="U103" s="220"/>
      <c r="V103" s="220"/>
      <c r="W103" s="104" t="s">
        <v>609</v>
      </c>
      <c r="X103" s="104"/>
      <c r="Y103" s="104"/>
      <c r="Z103" s="104"/>
      <c r="AA103" s="104"/>
      <c r="AB103" s="104"/>
      <c r="AC103" s="108"/>
      <c r="AD103" s="109"/>
      <c r="AE103" s="109"/>
      <c r="AF103" s="109"/>
      <c r="AG103" s="109"/>
      <c r="AH103" s="110"/>
      <c r="AI103" s="110"/>
      <c r="AJ103" s="111"/>
      <c r="AK103" s="111"/>
      <c r="AL103" s="111"/>
      <c r="AM103" s="111"/>
      <c r="AN103" s="111"/>
      <c r="AO103" s="111"/>
      <c r="AP103" s="111"/>
      <c r="AQ103" t="str">
        <f t="shared" si="3"/>
        <v>Aspire ---  Aspire</v>
      </c>
      <c r="BQ103"/>
    </row>
    <row r="104" spans="1:69" ht="15.75" customHeight="1">
      <c r="A104" s="102" t="s">
        <v>116</v>
      </c>
      <c r="B104" s="102" t="s">
        <v>117</v>
      </c>
      <c r="C104" s="102" t="s">
        <v>50</v>
      </c>
      <c r="D104" s="102"/>
      <c r="E104" s="103" t="s">
        <v>771</v>
      </c>
      <c r="F104" s="103"/>
      <c r="G104" s="103" t="s">
        <v>778</v>
      </c>
      <c r="H104" s="103" t="s">
        <v>779</v>
      </c>
      <c r="I104" s="91"/>
      <c r="J104" s="91"/>
      <c r="K104" s="91"/>
      <c r="L104" s="140" t="s">
        <v>78</v>
      </c>
      <c r="M104" s="104"/>
      <c r="N104" s="220"/>
      <c r="O104" s="220"/>
      <c r="P104" s="220"/>
      <c r="Q104" s="220"/>
      <c r="R104" s="220"/>
      <c r="S104" s="220"/>
      <c r="T104" s="220"/>
      <c r="U104" s="220"/>
      <c r="V104" s="220"/>
      <c r="W104" s="104" t="s">
        <v>609</v>
      </c>
      <c r="X104" s="104"/>
      <c r="Y104" s="104"/>
      <c r="Z104" s="104"/>
      <c r="AA104" s="104"/>
      <c r="AB104" s="104"/>
      <c r="AC104" s="108"/>
      <c r="AD104" s="109"/>
      <c r="AE104" s="109"/>
      <c r="AF104" s="109"/>
      <c r="AG104" s="109"/>
      <c r="AH104" s="110"/>
      <c r="AI104" s="110"/>
      <c r="AJ104" s="111"/>
      <c r="AK104" s="111"/>
      <c r="AL104" s="111"/>
      <c r="AM104" s="111"/>
      <c r="AN104" s="111"/>
      <c r="AO104" s="111"/>
      <c r="AP104" s="111"/>
      <c r="AQ104" t="str">
        <f t="shared" si="3"/>
        <v xml:space="preserve">BSI Tax factory  ---  BSI </v>
      </c>
      <c r="BQ104"/>
    </row>
    <row r="105" spans="1:69" ht="15.75" customHeight="1">
      <c r="A105" s="102" t="s">
        <v>191</v>
      </c>
      <c r="B105" s="102" t="s">
        <v>191</v>
      </c>
      <c r="C105" s="102" t="s">
        <v>50</v>
      </c>
      <c r="D105" s="102"/>
      <c r="E105" s="103" t="s">
        <v>771</v>
      </c>
      <c r="F105" s="103"/>
      <c r="G105" s="103" t="s">
        <v>778</v>
      </c>
      <c r="H105" t="s">
        <v>780</v>
      </c>
      <c r="I105" s="91"/>
      <c r="J105" s="91"/>
      <c r="K105" s="91"/>
      <c r="L105" s="140" t="s">
        <v>78</v>
      </c>
      <c r="M105" s="104"/>
      <c r="N105" s="220"/>
      <c r="O105" s="220"/>
      <c r="P105" s="220"/>
      <c r="Q105" s="220"/>
      <c r="R105" s="220"/>
      <c r="S105" s="220"/>
      <c r="T105" s="220"/>
      <c r="U105" s="220"/>
      <c r="V105" s="220"/>
      <c r="W105" s="104" t="s">
        <v>609</v>
      </c>
      <c r="X105" s="104"/>
      <c r="Y105" s="104"/>
      <c r="Z105" s="104"/>
      <c r="AA105" s="104"/>
      <c r="AB105" s="104" t="s">
        <v>39</v>
      </c>
      <c r="AC105" s="108"/>
      <c r="AD105" s="109"/>
      <c r="AE105" s="109"/>
      <c r="AF105" s="109"/>
      <c r="AG105" s="109"/>
      <c r="AH105" s="110"/>
      <c r="AI105" s="110"/>
      <c r="AJ105" s="111"/>
      <c r="AK105" s="111"/>
      <c r="AL105" s="111"/>
      <c r="AM105" s="111"/>
      <c r="AN105" s="111"/>
      <c r="AO105" s="111"/>
      <c r="AP105" s="111"/>
      <c r="AQ105" t="str">
        <f t="shared" si="3"/>
        <v>Dayforce/Ceridian ---  Dayforce/Ceridian</v>
      </c>
      <c r="BQ105"/>
    </row>
    <row r="106" spans="1:69" ht="15.75" customHeight="1">
      <c r="A106" s="102" t="s">
        <v>195</v>
      </c>
      <c r="B106" s="102" t="s">
        <v>195</v>
      </c>
      <c r="C106" s="102" t="s">
        <v>50</v>
      </c>
      <c r="D106" s="102"/>
      <c r="E106" s="103" t="s">
        <v>771</v>
      </c>
      <c r="F106" s="103"/>
      <c r="G106" s="103" t="s">
        <v>772</v>
      </c>
      <c r="H106" s="103"/>
      <c r="I106" s="91"/>
      <c r="J106" s="91"/>
      <c r="K106" s="91"/>
      <c r="L106" s="140" t="s">
        <v>78</v>
      </c>
      <c r="M106" s="104"/>
      <c r="N106" s="220"/>
      <c r="O106" s="220"/>
      <c r="P106" s="220"/>
      <c r="Q106" s="220"/>
      <c r="R106" s="220"/>
      <c r="S106" s="220"/>
      <c r="T106" s="220"/>
      <c r="U106" s="220"/>
      <c r="V106" s="220"/>
      <c r="W106" s="104" t="s">
        <v>609</v>
      </c>
      <c r="X106" s="104"/>
      <c r="Y106" s="104"/>
      <c r="Z106" s="104"/>
      <c r="AA106" s="104"/>
      <c r="AB106" s="104"/>
      <c r="AC106" s="108"/>
      <c r="AD106" s="109"/>
      <c r="AE106" s="109"/>
      <c r="AF106" s="109"/>
      <c r="AG106" s="109"/>
      <c r="AH106" s="110"/>
      <c r="AI106" s="110"/>
      <c r="AJ106" s="111"/>
      <c r="AK106" s="111"/>
      <c r="AL106" s="111"/>
      <c r="AM106" s="111"/>
      <c r="AN106" s="111"/>
      <c r="AO106" s="111"/>
      <c r="AP106" s="111"/>
      <c r="AQ106" t="str">
        <f t="shared" si="3"/>
        <v>Devonway ---  Devonway</v>
      </c>
      <c r="BQ106"/>
    </row>
    <row r="107" spans="1:69" ht="15.75" customHeight="1">
      <c r="A107" s="102" t="s">
        <v>255</v>
      </c>
      <c r="B107" s="102" t="s">
        <v>255</v>
      </c>
      <c r="C107" s="102" t="s">
        <v>50</v>
      </c>
      <c r="D107" s="102"/>
      <c r="E107" s="103" t="s">
        <v>771</v>
      </c>
      <c r="F107" s="103"/>
      <c r="G107" s="103" t="s">
        <v>781</v>
      </c>
      <c r="H107" s="103"/>
      <c r="I107" s="91"/>
      <c r="J107" s="91"/>
      <c r="K107" s="91"/>
      <c r="L107" s="140" t="s">
        <v>78</v>
      </c>
      <c r="M107" s="104"/>
      <c r="N107" s="220"/>
      <c r="O107" s="220"/>
      <c r="P107" s="220"/>
      <c r="Q107" s="220"/>
      <c r="R107" s="220"/>
      <c r="S107" s="220"/>
      <c r="T107" s="220"/>
      <c r="U107" s="220"/>
      <c r="V107" s="220"/>
      <c r="W107" s="104" t="s">
        <v>609</v>
      </c>
      <c r="X107" s="104"/>
      <c r="Y107" s="104"/>
      <c r="Z107" s="104"/>
      <c r="AA107" s="104"/>
      <c r="AB107" s="104"/>
      <c r="AC107" s="108"/>
      <c r="AD107" s="109"/>
      <c r="AE107" s="109"/>
      <c r="AF107" s="109"/>
      <c r="AG107" s="109"/>
      <c r="AH107" s="110"/>
      <c r="AI107" s="110"/>
      <c r="AJ107" s="111"/>
      <c r="AK107" s="111"/>
      <c r="AL107" s="111"/>
      <c r="AM107" s="111"/>
      <c r="AN107" s="111"/>
      <c r="AO107" s="111"/>
      <c r="AP107" s="111"/>
      <c r="AQ107" t="str">
        <f t="shared" si="3"/>
        <v>Equinity ---  Equinity</v>
      </c>
      <c r="BQ107"/>
    </row>
    <row r="108" spans="1:69" ht="15.75" customHeight="1">
      <c r="A108" s="102" t="s">
        <v>281</v>
      </c>
      <c r="B108" s="102" t="s">
        <v>281</v>
      </c>
      <c r="C108" s="102" t="s">
        <v>50</v>
      </c>
      <c r="D108" s="102"/>
      <c r="E108" s="103" t="s">
        <v>771</v>
      </c>
      <c r="F108" s="103"/>
      <c r="G108" s="103" t="s">
        <v>782</v>
      </c>
      <c r="H108" s="103"/>
      <c r="I108" s="91"/>
      <c r="J108" s="91"/>
      <c r="K108" s="91"/>
      <c r="L108" s="140" t="s">
        <v>78</v>
      </c>
      <c r="M108" s="104"/>
      <c r="N108" s="220"/>
      <c r="O108" s="220"/>
      <c r="P108" s="220"/>
      <c r="Q108" s="220"/>
      <c r="R108" s="220"/>
      <c r="S108" s="220"/>
      <c r="T108" s="220"/>
      <c r="U108" s="220"/>
      <c r="V108" s="220"/>
      <c r="W108" s="104" t="s">
        <v>609</v>
      </c>
      <c r="X108" s="104"/>
      <c r="Y108" s="104"/>
      <c r="Z108" s="104"/>
      <c r="AA108" s="104"/>
      <c r="AB108" s="104"/>
      <c r="AC108" s="108"/>
      <c r="AD108" s="109"/>
      <c r="AE108" s="109"/>
      <c r="AF108" s="109"/>
      <c r="AG108" s="109"/>
      <c r="AH108" s="110"/>
      <c r="AI108" s="110"/>
      <c r="AJ108" s="111"/>
      <c r="AK108" s="111"/>
      <c r="AL108" s="111"/>
      <c r="AM108" s="111"/>
      <c r="AN108" s="111"/>
      <c r="AO108" s="111"/>
      <c r="AP108" s="111"/>
      <c r="AQ108" t="str">
        <f t="shared" si="3"/>
        <v>FitPro ---  FitPro</v>
      </c>
      <c r="BQ108"/>
    </row>
    <row r="109" spans="1:69" ht="15.75" customHeight="1">
      <c r="A109" s="102" t="s">
        <v>558</v>
      </c>
      <c r="B109" s="102" t="s">
        <v>783</v>
      </c>
      <c r="C109" s="102" t="s">
        <v>50</v>
      </c>
      <c r="D109" s="102"/>
      <c r="E109" s="103" t="s">
        <v>771</v>
      </c>
      <c r="F109" s="103"/>
      <c r="G109" s="103" t="s">
        <v>338</v>
      </c>
      <c r="H109" s="112"/>
      <c r="I109" s="91"/>
      <c r="J109" s="91"/>
      <c r="K109" s="91"/>
      <c r="L109" s="140" t="s">
        <v>78</v>
      </c>
      <c r="M109" s="104"/>
      <c r="N109" s="220"/>
      <c r="O109" s="220"/>
      <c r="P109" s="220"/>
      <c r="Q109" s="220"/>
      <c r="R109" s="220"/>
      <c r="S109" s="220"/>
      <c r="T109" s="220"/>
      <c r="U109" s="220"/>
      <c r="V109" s="220"/>
      <c r="W109" s="104" t="s">
        <v>609</v>
      </c>
      <c r="X109" s="104"/>
      <c r="Y109" s="104"/>
      <c r="Z109" s="104"/>
      <c r="AA109" s="104"/>
      <c r="AB109" s="113"/>
      <c r="AC109" s="108"/>
      <c r="AD109" s="109"/>
      <c r="AE109" s="109"/>
      <c r="AF109" s="109"/>
      <c r="AG109" s="109"/>
      <c r="AH109" s="110"/>
      <c r="AI109" s="110"/>
      <c r="AJ109" s="111"/>
      <c r="AK109" s="111"/>
      <c r="AL109" s="111"/>
      <c r="AM109" s="111"/>
      <c r="AN109" s="111"/>
      <c r="AO109" s="111"/>
      <c r="AP109" s="111"/>
      <c r="AQ109" t="str">
        <f t="shared" si="3"/>
        <v>HenryFord ---  Health Qualifications</v>
      </c>
      <c r="BQ109"/>
    </row>
    <row r="110" spans="1:69" ht="15.75" customHeight="1">
      <c r="A110" s="102" t="s">
        <v>366</v>
      </c>
      <c r="B110" s="102" t="s">
        <v>366</v>
      </c>
      <c r="C110" s="102" t="s">
        <v>50</v>
      </c>
      <c r="D110" s="102"/>
      <c r="E110" s="103" t="s">
        <v>771</v>
      </c>
      <c r="F110" s="103"/>
      <c r="G110" s="103" t="s">
        <v>338</v>
      </c>
      <c r="H110" s="103"/>
      <c r="I110" s="91"/>
      <c r="J110" s="91"/>
      <c r="K110" s="91"/>
      <c r="L110" s="140" t="s">
        <v>78</v>
      </c>
      <c r="M110" s="104"/>
      <c r="N110" s="220"/>
      <c r="O110" s="220"/>
      <c r="P110" s="220"/>
      <c r="Q110" s="220"/>
      <c r="R110" s="220"/>
      <c r="S110" s="220"/>
      <c r="T110" s="220"/>
      <c r="U110" s="220"/>
      <c r="V110" s="220"/>
      <c r="W110" s="104" t="s">
        <v>609</v>
      </c>
      <c r="X110" s="104"/>
      <c r="Y110" s="104"/>
      <c r="Z110" s="104"/>
      <c r="AA110" s="104"/>
      <c r="AB110" s="104"/>
      <c r="AC110" s="108"/>
      <c r="AD110" s="109"/>
      <c r="AE110" s="109"/>
      <c r="AF110" s="109"/>
      <c r="AG110" s="109"/>
      <c r="AH110" s="110"/>
      <c r="AI110" s="110"/>
      <c r="AJ110" s="111"/>
      <c r="AK110" s="111"/>
      <c r="AL110" s="111"/>
      <c r="AM110" s="111"/>
      <c r="AN110" s="111"/>
      <c r="AO110" s="111"/>
      <c r="AP110" s="111"/>
      <c r="AQ110" t="str">
        <f t="shared" si="3"/>
        <v>JDMS ---  JDMS</v>
      </c>
      <c r="BQ110"/>
    </row>
    <row r="111" spans="1:69" ht="15.75" customHeight="1">
      <c r="A111" s="102" t="s">
        <v>378</v>
      </c>
      <c r="B111" s="102" t="s">
        <v>378</v>
      </c>
      <c r="C111" s="102" t="s">
        <v>50</v>
      </c>
      <c r="D111" s="102"/>
      <c r="E111" s="103" t="s">
        <v>771</v>
      </c>
      <c r="F111" s="103"/>
      <c r="G111" s="103"/>
      <c r="H111" s="103"/>
      <c r="I111" s="91"/>
      <c r="J111" s="91"/>
      <c r="K111" s="91"/>
      <c r="L111" s="140" t="s">
        <v>78</v>
      </c>
      <c r="M111" s="104"/>
      <c r="N111" s="220"/>
      <c r="O111" s="220"/>
      <c r="P111" s="220"/>
      <c r="Q111" s="220"/>
      <c r="R111" s="220"/>
      <c r="S111" s="220"/>
      <c r="T111" s="220"/>
      <c r="U111" s="220"/>
      <c r="V111" s="220"/>
      <c r="W111" s="104" t="s">
        <v>609</v>
      </c>
      <c r="X111" s="104"/>
      <c r="Y111" s="104"/>
      <c r="Z111" s="104"/>
      <c r="AA111" s="104"/>
      <c r="AB111" s="104"/>
      <c r="AC111" s="108"/>
      <c r="AD111" s="109"/>
      <c r="AE111" s="109"/>
      <c r="AF111" s="109"/>
      <c r="AG111" s="109"/>
      <c r="AH111" s="110"/>
      <c r="AI111" s="110"/>
      <c r="AJ111" s="111"/>
      <c r="AK111" s="111"/>
      <c r="AL111" s="111"/>
      <c r="AM111" s="111"/>
      <c r="AN111" s="111"/>
      <c r="AO111" s="111"/>
      <c r="AP111" s="111"/>
      <c r="AQ111" t="str">
        <f t="shared" si="3"/>
        <v>Live Well 365 ---  Live Well 365</v>
      </c>
      <c r="BQ111"/>
    </row>
    <row r="112" spans="1:69" ht="15.75" customHeight="1">
      <c r="A112" s="102" t="s">
        <v>383</v>
      </c>
      <c r="B112" s="102" t="s">
        <v>383</v>
      </c>
      <c r="C112" s="102" t="s">
        <v>50</v>
      </c>
      <c r="D112" s="102"/>
      <c r="E112" s="103" t="s">
        <v>771</v>
      </c>
      <c r="F112" s="103"/>
      <c r="G112" s="103"/>
      <c r="H112" s="103"/>
      <c r="I112" s="91"/>
      <c r="J112" s="91"/>
      <c r="K112" s="91"/>
      <c r="L112" s="140" t="s">
        <v>78</v>
      </c>
      <c r="M112" s="104"/>
      <c r="N112" s="220"/>
      <c r="O112" s="220"/>
      <c r="P112" s="220"/>
      <c r="Q112" s="220"/>
      <c r="R112" s="220"/>
      <c r="S112" s="220"/>
      <c r="T112" s="220"/>
      <c r="U112" s="220"/>
      <c r="V112" s="220"/>
      <c r="W112" s="104" t="s">
        <v>609</v>
      </c>
      <c r="X112" s="104"/>
      <c r="Y112" s="104"/>
      <c r="Z112" s="104"/>
      <c r="AA112" s="104"/>
      <c r="AB112" s="104"/>
      <c r="AC112" s="108"/>
      <c r="AD112" s="109"/>
      <c r="AE112" s="109"/>
      <c r="AF112" s="109"/>
      <c r="AG112" s="109"/>
      <c r="AH112" s="110"/>
      <c r="AI112" s="110"/>
      <c r="AJ112" s="111"/>
      <c r="AK112" s="111"/>
      <c r="AL112" s="111"/>
      <c r="AM112" s="111"/>
      <c r="AN112" s="111"/>
      <c r="AO112" s="111"/>
      <c r="AP112" s="111"/>
      <c r="AQ112" t="str">
        <f t="shared" si="3"/>
        <v>Magnit ---  Magnit</v>
      </c>
      <c r="BQ112"/>
    </row>
    <row r="113" spans="1:69" ht="15.75" customHeight="1">
      <c r="A113" s="102" t="s">
        <v>385</v>
      </c>
      <c r="B113" s="102" t="s">
        <v>385</v>
      </c>
      <c r="C113" s="102" t="s">
        <v>50</v>
      </c>
      <c r="D113" s="102"/>
      <c r="E113" s="103" t="s">
        <v>771</v>
      </c>
      <c r="F113" s="103"/>
      <c r="G113" s="103" t="s">
        <v>784</v>
      </c>
      <c r="H113" s="181" t="s">
        <v>785</v>
      </c>
      <c r="I113" s="91"/>
      <c r="J113" s="91"/>
      <c r="K113" s="91"/>
      <c r="L113" s="140" t="s">
        <v>78</v>
      </c>
      <c r="M113" s="104"/>
      <c r="N113" s="220"/>
      <c r="O113" s="220"/>
      <c r="P113" s="220"/>
      <c r="Q113" s="220"/>
      <c r="R113" s="220"/>
      <c r="S113" s="220"/>
      <c r="T113" s="220"/>
      <c r="U113" s="220"/>
      <c r="V113" s="220"/>
      <c r="W113" s="104" t="s">
        <v>609</v>
      </c>
      <c r="X113" s="104"/>
      <c r="Y113" s="104"/>
      <c r="Z113" s="104"/>
      <c r="AA113" s="104"/>
      <c r="AB113" s="104" t="s">
        <v>39</v>
      </c>
      <c r="AC113" s="108"/>
      <c r="AD113" s="109"/>
      <c r="AE113" s="109"/>
      <c r="AF113" s="109"/>
      <c r="AG113" s="109"/>
      <c r="AH113" s="110"/>
      <c r="AI113" s="110"/>
      <c r="AJ113" s="111"/>
      <c r="AK113" s="111"/>
      <c r="AL113" s="111"/>
      <c r="AM113" s="111"/>
      <c r="AN113" s="111"/>
      <c r="AO113" s="111"/>
      <c r="AP113" s="111"/>
      <c r="AQ113" t="str">
        <f t="shared" si="3"/>
        <v>Market Pay ---  Market Pay</v>
      </c>
      <c r="BQ113"/>
    </row>
    <row r="114" spans="1:69" ht="15.75" customHeight="1">
      <c r="A114" s="102" t="s">
        <v>420</v>
      </c>
      <c r="B114" s="102" t="s">
        <v>420</v>
      </c>
      <c r="C114" s="102" t="s">
        <v>50</v>
      </c>
      <c r="D114" s="102"/>
      <c r="E114" s="103" t="s">
        <v>771</v>
      </c>
      <c r="F114" s="103"/>
      <c r="G114" s="103" t="s">
        <v>421</v>
      </c>
      <c r="H114" s="184"/>
      <c r="I114" s="91"/>
      <c r="J114" s="91"/>
      <c r="K114" s="91"/>
      <c r="L114" s="140" t="s">
        <v>78</v>
      </c>
      <c r="M114" s="104"/>
      <c r="N114" s="220"/>
      <c r="O114" s="220"/>
      <c r="P114" s="220"/>
      <c r="Q114" s="220"/>
      <c r="R114" s="220"/>
      <c r="S114" s="220"/>
      <c r="T114" s="220"/>
      <c r="U114" s="220"/>
      <c r="V114" s="220"/>
      <c r="W114" s="104" t="s">
        <v>609</v>
      </c>
      <c r="X114" s="104"/>
      <c r="Y114" s="104"/>
      <c r="Z114" s="104"/>
      <c r="AA114" s="104"/>
      <c r="AB114" s="104"/>
      <c r="AC114" s="108"/>
      <c r="AD114" s="109"/>
      <c r="AE114" s="109"/>
      <c r="AF114" s="109"/>
      <c r="AG114" s="109"/>
      <c r="AH114" s="110"/>
      <c r="AI114" s="110"/>
      <c r="AJ114" s="111"/>
      <c r="AK114" s="111"/>
      <c r="AL114" s="111"/>
      <c r="AM114" s="111"/>
      <c r="AN114" s="111"/>
      <c r="AO114" s="111"/>
      <c r="AP114" s="111"/>
      <c r="AQ114" t="str">
        <f t="shared" si="3"/>
        <v>Polite Mail ---  Polite Mail</v>
      </c>
      <c r="BQ114"/>
    </row>
    <row r="115" spans="1:69" ht="15.75" customHeight="1">
      <c r="A115" s="102" t="s">
        <v>444</v>
      </c>
      <c r="B115" s="102" t="s">
        <v>444</v>
      </c>
      <c r="C115" s="102" t="s">
        <v>50</v>
      </c>
      <c r="D115" s="102"/>
      <c r="E115" s="103" t="s">
        <v>771</v>
      </c>
      <c r="F115" s="103"/>
      <c r="G115" s="103"/>
      <c r="H115" s="103"/>
      <c r="I115" s="91"/>
      <c r="J115" s="91"/>
      <c r="K115" s="91"/>
      <c r="L115" s="140" t="s">
        <v>78</v>
      </c>
      <c r="M115" s="104"/>
      <c r="N115" s="220"/>
      <c r="O115" s="220"/>
      <c r="P115" s="220"/>
      <c r="Q115" s="220"/>
      <c r="R115" s="220"/>
      <c r="S115" s="220"/>
      <c r="T115" s="220"/>
      <c r="U115" s="220"/>
      <c r="V115" s="220"/>
      <c r="W115" s="104" t="s">
        <v>609</v>
      </c>
      <c r="X115" s="104"/>
      <c r="Y115" s="104"/>
      <c r="Z115" s="104"/>
      <c r="AA115" s="104"/>
      <c r="AB115" s="104"/>
      <c r="AC115" s="108"/>
      <c r="AD115" s="109"/>
      <c r="AE115" s="109"/>
      <c r="AF115" s="109"/>
      <c r="AG115" s="109"/>
      <c r="AH115" s="110"/>
      <c r="AI115" s="110"/>
      <c r="AJ115" s="111"/>
      <c r="AK115" s="111"/>
      <c r="AL115" s="111"/>
      <c r="AM115" s="111"/>
      <c r="AN115" s="111"/>
      <c r="AO115" s="111"/>
      <c r="AP115" s="111"/>
      <c r="AQ115" t="str">
        <f t="shared" si="3"/>
        <v>Qualtrics ---  Qualtrics</v>
      </c>
      <c r="BQ115"/>
    </row>
    <row r="116" spans="1:69" ht="15.75" customHeight="1">
      <c r="A116" s="102" t="s">
        <v>446</v>
      </c>
      <c r="B116" s="102" t="s">
        <v>446</v>
      </c>
      <c r="C116" s="102" t="s">
        <v>50</v>
      </c>
      <c r="D116" s="102"/>
      <c r="E116" s="103" t="s">
        <v>771</v>
      </c>
      <c r="F116" s="103"/>
      <c r="G116" s="103"/>
      <c r="H116" s="103"/>
      <c r="I116" s="91"/>
      <c r="J116" s="91"/>
      <c r="K116" s="91"/>
      <c r="L116" s="140" t="s">
        <v>78</v>
      </c>
      <c r="M116" s="104"/>
      <c r="N116" s="220"/>
      <c r="O116" s="220"/>
      <c r="P116" s="220"/>
      <c r="Q116" s="220"/>
      <c r="R116" s="220"/>
      <c r="S116" s="220"/>
      <c r="T116" s="220"/>
      <c r="U116" s="220"/>
      <c r="V116" s="220"/>
      <c r="W116" s="104" t="s">
        <v>609</v>
      </c>
      <c r="X116" s="104"/>
      <c r="Y116" s="104"/>
      <c r="Z116" s="104"/>
      <c r="AA116" s="104"/>
      <c r="AB116" s="104"/>
      <c r="AC116" s="108"/>
      <c r="AD116" s="109"/>
      <c r="AE116" s="109"/>
      <c r="AF116" s="109"/>
      <c r="AG116" s="109"/>
      <c r="AH116" s="110"/>
      <c r="AI116" s="110"/>
      <c r="AJ116" s="111"/>
      <c r="AK116" s="111"/>
      <c r="AL116" s="111"/>
      <c r="AM116" s="111"/>
      <c r="AN116" s="111"/>
      <c r="AO116" s="111"/>
      <c r="AP116" s="111"/>
      <c r="AQ116" t="str">
        <f t="shared" si="3"/>
        <v>Quorum ---  Quorum</v>
      </c>
      <c r="BQ116"/>
    </row>
    <row r="117" spans="1:69" ht="15.75" customHeight="1">
      <c r="A117" s="102" t="s">
        <v>456</v>
      </c>
      <c r="B117" s="102" t="s">
        <v>456</v>
      </c>
      <c r="C117" s="102" t="s">
        <v>50</v>
      </c>
      <c r="D117" s="102"/>
      <c r="E117" s="103" t="s">
        <v>771</v>
      </c>
      <c r="F117" s="103"/>
      <c r="G117" s="103" t="s">
        <v>786</v>
      </c>
      <c r="H117" s="103"/>
      <c r="I117" s="91"/>
      <c r="J117" s="91"/>
      <c r="K117" s="91"/>
      <c r="L117" s="140" t="s">
        <v>78</v>
      </c>
      <c r="M117" s="104"/>
      <c r="N117" s="220"/>
      <c r="O117" s="220"/>
      <c r="P117" s="220"/>
      <c r="Q117" s="220"/>
      <c r="R117" s="220"/>
      <c r="S117" s="220"/>
      <c r="T117" s="220"/>
      <c r="U117" s="220"/>
      <c r="V117" s="220"/>
      <c r="W117" s="104" t="s">
        <v>609</v>
      </c>
      <c r="X117" s="104"/>
      <c r="Y117" s="104"/>
      <c r="Z117" s="104"/>
      <c r="AA117" s="104"/>
      <c r="AB117" s="104"/>
      <c r="AC117" s="108"/>
      <c r="AD117" s="109"/>
      <c r="AE117" s="109"/>
      <c r="AF117" s="109"/>
      <c r="AG117" s="109"/>
      <c r="AH117" s="110"/>
      <c r="AI117" s="110"/>
      <c r="AJ117" s="111"/>
      <c r="AK117" s="111"/>
      <c r="AL117" s="111"/>
      <c r="AM117" s="111"/>
      <c r="AN117" s="111"/>
      <c r="AO117" s="111"/>
      <c r="AP117" s="111"/>
      <c r="AQ117" t="str">
        <f t="shared" si="3"/>
        <v>Saba Org Planning ---  Saba Org Planning</v>
      </c>
      <c r="BQ117"/>
    </row>
    <row r="118" spans="1:69" ht="15.75" customHeight="1">
      <c r="A118" s="102" t="s">
        <v>457</v>
      </c>
      <c r="B118" s="102" t="s">
        <v>457</v>
      </c>
      <c r="C118" s="102" t="s">
        <v>50</v>
      </c>
      <c r="D118" s="102"/>
      <c r="E118" s="103" t="s">
        <v>771</v>
      </c>
      <c r="F118" s="103"/>
      <c r="G118" s="103"/>
      <c r="H118" s="103"/>
      <c r="I118" s="91"/>
      <c r="J118" s="91"/>
      <c r="K118" s="91"/>
      <c r="L118" s="140" t="s">
        <v>78</v>
      </c>
      <c r="M118" s="104"/>
      <c r="N118" s="220"/>
      <c r="O118" s="220"/>
      <c r="P118" s="220"/>
      <c r="Q118" s="220"/>
      <c r="R118" s="220"/>
      <c r="S118" s="220"/>
      <c r="T118" s="220"/>
      <c r="U118" s="220"/>
      <c r="V118" s="220"/>
      <c r="W118" s="104" t="s">
        <v>609</v>
      </c>
      <c r="X118" s="104"/>
      <c r="Y118" s="104"/>
      <c r="Z118" s="104"/>
      <c r="AA118" s="104"/>
      <c r="AB118" s="104"/>
      <c r="AC118" s="108"/>
      <c r="AD118" s="109"/>
      <c r="AE118" s="109"/>
      <c r="AF118" s="109"/>
      <c r="AG118" s="109"/>
      <c r="AH118" s="110"/>
      <c r="AI118" s="110"/>
      <c r="AJ118" s="111"/>
      <c r="AK118" s="111"/>
      <c r="AL118" s="111"/>
      <c r="AM118" s="111"/>
      <c r="AN118" s="111"/>
      <c r="AO118" s="111"/>
      <c r="AP118" s="111"/>
      <c r="AQ118" t="str">
        <f t="shared" si="3"/>
        <v>SAP Callidus/BCC ---  SAP Callidus/BCC</v>
      </c>
      <c r="BQ118"/>
    </row>
    <row r="119" spans="1:69" ht="15.75" customHeight="1">
      <c r="A119" s="102" t="s">
        <v>380</v>
      </c>
      <c r="B119" s="102" t="s">
        <v>381</v>
      </c>
      <c r="C119" s="102" t="s">
        <v>50</v>
      </c>
      <c r="D119" s="102"/>
      <c r="E119" s="103" t="s">
        <v>771</v>
      </c>
      <c r="F119" s="103"/>
      <c r="G119" s="103" t="s">
        <v>338</v>
      </c>
      <c r="H119" s="103"/>
      <c r="I119" s="91"/>
      <c r="J119" s="91"/>
      <c r="K119" s="91"/>
      <c r="L119" s="140" t="s">
        <v>78</v>
      </c>
      <c r="M119" s="104"/>
      <c r="N119" s="220"/>
      <c r="O119" s="220"/>
      <c r="P119" s="220"/>
      <c r="Q119" s="220"/>
      <c r="R119" s="220"/>
      <c r="S119" s="220"/>
      <c r="T119" s="220"/>
      <c r="U119" s="220"/>
      <c r="V119" s="220"/>
      <c r="W119" s="104" t="s">
        <v>609</v>
      </c>
      <c r="X119" s="104"/>
      <c r="Y119" s="104"/>
      <c r="Z119" s="104"/>
      <c r="AA119" s="104"/>
      <c r="AB119" s="104"/>
      <c r="AC119" s="108"/>
      <c r="AD119" s="109"/>
      <c r="AE119" s="109"/>
      <c r="AF119" s="109"/>
      <c r="AG119" s="109"/>
      <c r="AH119" s="110"/>
      <c r="AI119" s="110"/>
      <c r="AJ119" s="111"/>
      <c r="AK119" s="111"/>
      <c r="AL119" s="111"/>
      <c r="AM119" s="111"/>
      <c r="AN119" s="111"/>
      <c r="AO119" s="111"/>
      <c r="AP119" s="111"/>
      <c r="AQ119" t="str">
        <f t="shared" si="3"/>
        <v>SAP SuccessFactor ---  LMS</v>
      </c>
      <c r="BQ119"/>
    </row>
    <row r="120" spans="1:69" ht="15.75" customHeight="1">
      <c r="A120" s="102" t="s">
        <v>380</v>
      </c>
      <c r="B120" s="102" t="s">
        <v>448</v>
      </c>
      <c r="C120" s="102" t="s">
        <v>50</v>
      </c>
      <c r="D120" s="102"/>
      <c r="E120" s="103" t="s">
        <v>771</v>
      </c>
      <c r="F120" s="103"/>
      <c r="G120" s="103" t="s">
        <v>338</v>
      </c>
      <c r="H120" s="103"/>
      <c r="I120" s="91"/>
      <c r="J120" s="91"/>
      <c r="K120" s="91"/>
      <c r="L120" s="140" t="s">
        <v>78</v>
      </c>
      <c r="M120" s="104"/>
      <c r="N120" s="220"/>
      <c r="O120" s="220"/>
      <c r="P120" s="220"/>
      <c r="Q120" s="220"/>
      <c r="R120" s="220"/>
      <c r="S120" s="220"/>
      <c r="T120" s="220"/>
      <c r="U120" s="220"/>
      <c r="V120" s="220"/>
      <c r="W120" s="104" t="s">
        <v>609</v>
      </c>
      <c r="X120" s="104"/>
      <c r="Y120" s="104"/>
      <c r="Z120" s="104"/>
      <c r="AA120" s="104"/>
      <c r="AB120" s="104"/>
      <c r="AC120" s="108"/>
      <c r="AD120" s="109"/>
      <c r="AE120" s="109"/>
      <c r="AF120" s="109"/>
      <c r="AG120" s="109"/>
      <c r="AH120" s="110"/>
      <c r="AI120" s="110"/>
      <c r="AJ120" s="111"/>
      <c r="AK120" s="111"/>
      <c r="AL120" s="111"/>
      <c r="AM120" s="111"/>
      <c r="AN120" s="111"/>
      <c r="AO120" s="111"/>
      <c r="AP120" s="111"/>
      <c r="AQ120" t="str">
        <f t="shared" si="3"/>
        <v>SAP SuccessFactor ---  Recruiting</v>
      </c>
      <c r="BQ120"/>
    </row>
    <row r="121" spans="1:69" ht="15.75" customHeight="1">
      <c r="A121" s="102" t="s">
        <v>336</v>
      </c>
      <c r="B121" s="102" t="s">
        <v>337</v>
      </c>
      <c r="C121" s="102" t="s">
        <v>50</v>
      </c>
      <c r="D121" s="102"/>
      <c r="E121" s="103" t="s">
        <v>771</v>
      </c>
      <c r="F121" s="103"/>
      <c r="G121" s="103" t="s">
        <v>338</v>
      </c>
      <c r="H121" s="103"/>
      <c r="I121" s="91"/>
      <c r="J121" s="91"/>
      <c r="K121" s="91"/>
      <c r="L121" s="140" t="s">
        <v>78</v>
      </c>
      <c r="M121" s="104"/>
      <c r="N121" s="220"/>
      <c r="O121" s="220"/>
      <c r="P121" s="220"/>
      <c r="Q121" s="220"/>
      <c r="R121" s="220"/>
      <c r="S121" s="220"/>
      <c r="T121" s="220"/>
      <c r="U121" s="220"/>
      <c r="V121" s="220"/>
      <c r="W121" s="104" t="s">
        <v>609</v>
      </c>
      <c r="X121" s="104"/>
      <c r="Y121" s="104"/>
      <c r="Z121" s="104"/>
      <c r="AA121" s="104"/>
      <c r="AB121" s="104"/>
      <c r="AC121" s="108"/>
      <c r="AD121" s="109"/>
      <c r="AE121" s="109"/>
      <c r="AF121" s="109"/>
      <c r="AG121" s="109"/>
      <c r="AH121" s="110"/>
      <c r="AI121" s="110"/>
      <c r="AJ121" s="111"/>
      <c r="AK121" s="111"/>
      <c r="AL121" s="111"/>
      <c r="AM121" s="111"/>
      <c r="AN121" s="111"/>
      <c r="AO121" s="111"/>
      <c r="AP121" s="111"/>
      <c r="AQ121" t="str">
        <f t="shared" si="3"/>
        <v>SAP SuccessFactor  ---  Goals &amp; Performance</v>
      </c>
      <c r="BQ121"/>
    </row>
    <row r="122" spans="1:69" ht="15.75" customHeight="1">
      <c r="A122" s="102" t="s">
        <v>336</v>
      </c>
      <c r="B122" s="102" t="s">
        <v>500</v>
      </c>
      <c r="C122" s="102" t="s">
        <v>50</v>
      </c>
      <c r="D122" s="102"/>
      <c r="E122" s="103" t="s">
        <v>771</v>
      </c>
      <c r="F122" s="103"/>
      <c r="G122" s="103" t="s">
        <v>338</v>
      </c>
      <c r="H122" s="103"/>
      <c r="I122" s="91"/>
      <c r="J122" s="91"/>
      <c r="K122" s="91"/>
      <c r="L122" s="140" t="s">
        <v>78</v>
      </c>
      <c r="M122" s="104"/>
      <c r="N122" s="220"/>
      <c r="O122" s="220"/>
      <c r="P122" s="220"/>
      <c r="Q122" s="220"/>
      <c r="R122" s="220"/>
      <c r="S122" s="220"/>
      <c r="T122" s="220"/>
      <c r="U122" s="220"/>
      <c r="V122" s="220"/>
      <c r="W122" s="104" t="s">
        <v>609</v>
      </c>
      <c r="X122" s="104"/>
      <c r="Y122" s="104"/>
      <c r="Z122" s="104"/>
      <c r="AA122" s="104"/>
      <c r="AB122" s="104"/>
      <c r="AC122" s="108"/>
      <c r="AD122" s="109"/>
      <c r="AE122" s="109"/>
      <c r="AF122" s="109" t="s">
        <v>77</v>
      </c>
      <c r="AG122" s="109"/>
      <c r="AH122" s="110"/>
      <c r="AI122" s="110"/>
      <c r="AJ122" s="111"/>
      <c r="AK122" s="111"/>
      <c r="AL122" s="111"/>
      <c r="AM122" s="111"/>
      <c r="AN122" s="111"/>
      <c r="AO122" s="111"/>
      <c r="AP122" s="111"/>
      <c r="AQ122" t="str">
        <f t="shared" si="3"/>
        <v>SAP SuccessFactor  ---  Talent Management</v>
      </c>
      <c r="BQ122"/>
    </row>
    <row r="123" spans="1:69" s="5" customFormat="1" ht="15.75" customHeight="1">
      <c r="A123" s="102" t="s">
        <v>336</v>
      </c>
      <c r="B123" s="102" t="s">
        <v>402</v>
      </c>
      <c r="C123" s="102" t="s">
        <v>50</v>
      </c>
      <c r="D123" s="102"/>
      <c r="E123" s="103" t="s">
        <v>771</v>
      </c>
      <c r="F123" s="103"/>
      <c r="G123" s="103" t="s">
        <v>338</v>
      </c>
      <c r="H123" s="103"/>
      <c r="I123" s="93"/>
      <c r="J123" s="93"/>
      <c r="K123" s="93"/>
      <c r="L123" s="140" t="s">
        <v>78</v>
      </c>
      <c r="M123" s="104"/>
      <c r="N123" s="220"/>
      <c r="O123" s="220"/>
      <c r="P123" s="220"/>
      <c r="Q123" s="220"/>
      <c r="R123" s="220"/>
      <c r="S123" s="220"/>
      <c r="T123" s="220"/>
      <c r="U123" s="220"/>
      <c r="V123" s="220"/>
      <c r="W123" s="104" t="s">
        <v>609</v>
      </c>
      <c r="X123" s="104"/>
      <c r="Y123" s="104"/>
      <c r="Z123" s="104"/>
      <c r="AA123" s="104"/>
      <c r="AB123" s="104"/>
      <c r="AC123" s="128"/>
      <c r="AD123" s="129"/>
      <c r="AE123" s="129"/>
      <c r="AF123" s="129"/>
      <c r="AG123" s="129"/>
      <c r="AH123" s="110"/>
      <c r="AI123" s="110"/>
      <c r="AJ123" s="130"/>
      <c r="AK123" s="130"/>
      <c r="AL123" s="130"/>
      <c r="AM123" s="130"/>
      <c r="AN123" s="130"/>
      <c r="AO123" s="130"/>
      <c r="AP123" s="130"/>
      <c r="AQ123" t="str">
        <f t="shared" si="3"/>
        <v>SAP SuccessFactor  ---  Onboarding</v>
      </c>
    </row>
    <row r="124" spans="1:69" s="5" customFormat="1" ht="15.75" customHeight="1">
      <c r="A124" s="102" t="s">
        <v>501</v>
      </c>
      <c r="B124" s="102" t="s">
        <v>501</v>
      </c>
      <c r="C124" s="102" t="s">
        <v>50</v>
      </c>
      <c r="D124" s="102"/>
      <c r="E124" s="103" t="s">
        <v>771</v>
      </c>
      <c r="F124" s="103"/>
      <c r="G124" s="103" t="s">
        <v>787</v>
      </c>
      <c r="H124" s="103"/>
      <c r="I124" s="93"/>
      <c r="J124" s="93"/>
      <c r="K124" s="93"/>
      <c r="L124" s="140" t="s">
        <v>78</v>
      </c>
      <c r="M124" s="104"/>
      <c r="N124" s="220"/>
      <c r="O124" s="220"/>
      <c r="P124" s="220"/>
      <c r="Q124" s="220"/>
      <c r="R124" s="220"/>
      <c r="S124" s="220"/>
      <c r="T124" s="220"/>
      <c r="U124" s="220"/>
      <c r="V124" s="220"/>
      <c r="W124" s="104" t="s">
        <v>609</v>
      </c>
      <c r="X124" s="104"/>
      <c r="Y124" s="104"/>
      <c r="Z124" s="104"/>
      <c r="AA124" s="104"/>
      <c r="AB124" s="104"/>
      <c r="AC124" s="128"/>
      <c r="AD124" s="129"/>
      <c r="AE124" s="129"/>
      <c r="AF124" s="129" t="s">
        <v>668</v>
      </c>
      <c r="AG124" s="129"/>
      <c r="AH124" s="110"/>
      <c r="AI124" s="110"/>
      <c r="AJ124" s="130"/>
      <c r="AK124" s="130"/>
      <c r="AL124" s="130"/>
      <c r="AM124" s="130"/>
      <c r="AN124" s="130"/>
      <c r="AO124" s="130"/>
      <c r="AP124" s="130"/>
      <c r="AQ124" t="str">
        <f t="shared" si="3"/>
        <v>TaxPort ---  TaxPort</v>
      </c>
    </row>
    <row r="125" spans="1:69" s="5" customFormat="1" ht="15.75" customHeight="1">
      <c r="A125" s="102" t="s">
        <v>519</v>
      </c>
      <c r="B125" s="102" t="s">
        <v>519</v>
      </c>
      <c r="C125" s="102" t="s">
        <v>50</v>
      </c>
      <c r="D125" s="102"/>
      <c r="E125" s="103" t="s">
        <v>771</v>
      </c>
      <c r="F125" s="103"/>
      <c r="G125" s="103" t="s">
        <v>421</v>
      </c>
      <c r="H125" s="103"/>
      <c r="I125" s="93"/>
      <c r="J125" s="93"/>
      <c r="K125" s="93"/>
      <c r="L125" s="140" t="s">
        <v>78</v>
      </c>
      <c r="M125" s="104"/>
      <c r="N125" s="220"/>
      <c r="O125" s="220"/>
      <c r="P125" s="220"/>
      <c r="Q125" s="220"/>
      <c r="R125" s="220"/>
      <c r="S125" s="220"/>
      <c r="T125" s="220"/>
      <c r="U125" s="220"/>
      <c r="V125" s="220"/>
      <c r="W125" s="104" t="s">
        <v>609</v>
      </c>
      <c r="X125" s="104"/>
      <c r="Y125" s="104"/>
      <c r="Z125" s="104"/>
      <c r="AA125" s="104"/>
      <c r="AB125" s="104"/>
      <c r="AC125" s="128"/>
      <c r="AD125" s="129"/>
      <c r="AE125" s="129"/>
      <c r="AF125" s="129"/>
      <c r="AG125" s="129"/>
      <c r="AH125" s="110"/>
      <c r="AI125" s="110"/>
      <c r="AJ125" s="130"/>
      <c r="AK125" s="130"/>
      <c r="AL125" s="130"/>
      <c r="AM125" s="130"/>
      <c r="AN125" s="130"/>
      <c r="AO125" s="130"/>
      <c r="AP125" s="130"/>
      <c r="AQ125" t="str">
        <f t="shared" si="3"/>
        <v>Workshop ---  Workshop</v>
      </c>
    </row>
    <row r="126" spans="1:69" ht="15.75" customHeight="1">
      <c r="A126" s="102" t="s">
        <v>353</v>
      </c>
      <c r="B126" s="102" t="s">
        <v>354</v>
      </c>
      <c r="C126" s="102" t="s">
        <v>60</v>
      </c>
      <c r="D126" s="102"/>
      <c r="E126" s="103" t="s">
        <v>788</v>
      </c>
      <c r="F126" s="103"/>
      <c r="G126" s="103" t="s">
        <v>356</v>
      </c>
      <c r="H126" s="103" t="s">
        <v>62</v>
      </c>
      <c r="I126" s="91"/>
      <c r="J126" s="91"/>
      <c r="K126" s="91"/>
      <c r="L126" s="140" t="s">
        <v>78</v>
      </c>
      <c r="M126" s="104"/>
      <c r="N126" s="220"/>
      <c r="O126" s="220"/>
      <c r="P126" s="220"/>
      <c r="Q126" s="220"/>
      <c r="R126" s="220"/>
      <c r="S126" s="220"/>
      <c r="T126" s="220"/>
      <c r="U126" s="220"/>
      <c r="V126" s="220"/>
      <c r="W126" s="104"/>
      <c r="X126" s="104"/>
      <c r="Y126" s="104"/>
      <c r="Z126" s="104"/>
      <c r="AA126" s="104"/>
      <c r="AB126" s="104" t="s">
        <v>78</v>
      </c>
      <c r="AC126" s="108"/>
      <c r="AD126" s="109"/>
      <c r="AE126" s="109"/>
      <c r="AF126" s="109"/>
      <c r="AG126" s="109"/>
      <c r="AH126" s="110"/>
      <c r="AI126" s="110"/>
      <c r="AJ126" s="111"/>
      <c r="AK126" s="111"/>
      <c r="AL126" s="111"/>
      <c r="AM126" s="111"/>
      <c r="AN126" s="111"/>
      <c r="AO126" s="111"/>
      <c r="AP126" s="111"/>
      <c r="AQ126" t="str">
        <f t="shared" si="3"/>
        <v>ISN SOFTWARE CORPORATION (20029874) ---  ISNetworld</v>
      </c>
      <c r="BQ126"/>
    </row>
    <row r="127" spans="1:69" ht="15.75" customHeight="1">
      <c r="A127" s="102" t="s">
        <v>472</v>
      </c>
      <c r="B127" s="102" t="s">
        <v>473</v>
      </c>
      <c r="C127" s="102" t="s">
        <v>60</v>
      </c>
      <c r="D127" s="102"/>
      <c r="E127" s="103" t="s">
        <v>788</v>
      </c>
      <c r="F127" s="103"/>
      <c r="G127" s="103" t="s">
        <v>475</v>
      </c>
      <c r="H127" s="103" t="s">
        <v>62</v>
      </c>
      <c r="I127" s="91"/>
      <c r="J127" s="91"/>
      <c r="K127" s="91"/>
      <c r="L127" s="140" t="s">
        <v>78</v>
      </c>
      <c r="M127" s="104"/>
      <c r="N127" s="220"/>
      <c r="O127" s="220"/>
      <c r="P127" s="220"/>
      <c r="Q127" s="220"/>
      <c r="R127" s="220"/>
      <c r="S127" s="220"/>
      <c r="T127" s="220"/>
      <c r="U127" s="220"/>
      <c r="V127" s="220"/>
      <c r="W127" s="104"/>
      <c r="X127" s="104"/>
      <c r="Y127" s="104"/>
      <c r="Z127" s="104"/>
      <c r="AA127" s="104"/>
      <c r="AB127" s="104" t="s">
        <v>476</v>
      </c>
      <c r="AC127" s="108"/>
      <c r="AD127" s="109" t="s">
        <v>789</v>
      </c>
      <c r="AE127" s="109"/>
      <c r="AF127" s="109"/>
      <c r="AG127" s="109"/>
      <c r="AH127" s="110"/>
      <c r="AI127" s="110"/>
      <c r="AJ127" s="111"/>
      <c r="AK127" s="111"/>
      <c r="AL127" s="111"/>
      <c r="AM127" s="111"/>
      <c r="AN127" s="111"/>
      <c r="AO127" s="111"/>
      <c r="AP127" s="111"/>
      <c r="AQ127" t="str">
        <f t="shared" si="3"/>
        <v>SERVICENOW INC (20025075) ---  ServiceNow</v>
      </c>
      <c r="BQ127"/>
    </row>
    <row r="128" spans="1:69" ht="15.75" customHeight="1">
      <c r="A128" s="102" t="s">
        <v>57</v>
      </c>
      <c r="B128" s="102" t="s">
        <v>58</v>
      </c>
      <c r="C128" s="102" t="s">
        <v>60</v>
      </c>
      <c r="D128" s="102"/>
      <c r="E128" s="103" t="s">
        <v>788</v>
      </c>
      <c r="F128" s="103"/>
      <c r="G128" s="116" t="s">
        <v>790</v>
      </c>
      <c r="H128" s="103" t="s">
        <v>62</v>
      </c>
      <c r="I128" s="91"/>
      <c r="J128" s="91"/>
      <c r="K128" s="91"/>
      <c r="L128" s="140" t="s">
        <v>78</v>
      </c>
      <c r="M128" s="104"/>
      <c r="N128" s="220"/>
      <c r="O128" s="220"/>
      <c r="P128" s="220"/>
      <c r="Q128" s="220"/>
      <c r="R128" s="220"/>
      <c r="S128" s="220"/>
      <c r="T128" s="220"/>
      <c r="U128" s="220"/>
      <c r="V128" s="220"/>
      <c r="W128" s="104"/>
      <c r="X128" s="104"/>
      <c r="Y128" s="104"/>
      <c r="Z128" s="104"/>
      <c r="AA128" s="104"/>
      <c r="AB128" s="104" t="s">
        <v>39</v>
      </c>
      <c r="AC128" s="108"/>
      <c r="AD128" s="109"/>
      <c r="AE128" s="109"/>
      <c r="AF128" s="109" t="s">
        <v>791</v>
      </c>
      <c r="AG128" s="109"/>
      <c r="AH128" s="110"/>
      <c r="AI128" s="110"/>
      <c r="AJ128" s="111"/>
      <c r="AK128" s="111"/>
      <c r="AL128" s="111"/>
      <c r="AM128" s="111"/>
      <c r="AN128" s="111"/>
      <c r="AO128" s="111"/>
      <c r="AP128" s="111"/>
      <c r="AQ128" t="str">
        <f t="shared" si="3"/>
        <v>ACF GLOBAL LOGISTICS LLC (20032760) ---  ACF Global Logistics</v>
      </c>
      <c r="BQ128"/>
    </row>
    <row r="129" spans="1:69" ht="15.75" customHeight="1">
      <c r="A129" s="102" t="s">
        <v>422</v>
      </c>
      <c r="B129" s="102" t="s">
        <v>423</v>
      </c>
      <c r="C129" s="102" t="s">
        <v>60</v>
      </c>
      <c r="D129" s="102"/>
      <c r="E129" s="103" t="s">
        <v>788</v>
      </c>
      <c r="F129" s="103"/>
      <c r="G129" s="103" t="s">
        <v>425</v>
      </c>
      <c r="H129" s="103" t="s">
        <v>426</v>
      </c>
      <c r="I129" s="91"/>
      <c r="J129" s="91"/>
      <c r="K129" s="91"/>
      <c r="L129" s="140" t="s">
        <v>78</v>
      </c>
      <c r="M129" s="104"/>
      <c r="N129" s="220"/>
      <c r="O129" s="220"/>
      <c r="P129" s="220"/>
      <c r="Q129" s="220"/>
      <c r="R129" s="220"/>
      <c r="S129" s="220"/>
      <c r="T129" s="220"/>
      <c r="U129" s="220"/>
      <c r="V129" s="220"/>
      <c r="W129" s="104"/>
      <c r="X129" s="104"/>
      <c r="Y129" s="104"/>
      <c r="Z129" s="104"/>
      <c r="AA129" s="104"/>
      <c r="AB129" s="104" t="s">
        <v>39</v>
      </c>
      <c r="AC129" s="108"/>
      <c r="AD129" s="109"/>
      <c r="AE129" s="109"/>
      <c r="AF129" s="109"/>
      <c r="AG129" s="109"/>
      <c r="AH129" s="110"/>
      <c r="AI129" s="110"/>
      <c r="AJ129" s="111"/>
      <c r="AK129" s="111"/>
      <c r="AL129" s="111"/>
      <c r="AM129" s="111"/>
      <c r="AN129" s="111"/>
      <c r="AO129" s="111"/>
      <c r="AP129" s="111"/>
      <c r="AQ129" t="str">
        <f t="shared" si="3"/>
        <v>WOOD MACKENZIE INC (20030871) ---  PowerAdvocate</v>
      </c>
      <c r="BQ129"/>
    </row>
    <row r="130" spans="1:69" ht="15.75" customHeight="1">
      <c r="A130" s="102" t="s">
        <v>222</v>
      </c>
      <c r="B130" s="102" t="s">
        <v>223</v>
      </c>
      <c r="C130" s="102" t="s">
        <v>60</v>
      </c>
      <c r="D130" s="102"/>
      <c r="E130" s="103" t="s">
        <v>788</v>
      </c>
      <c r="F130" s="103"/>
      <c r="G130" s="103" t="s">
        <v>225</v>
      </c>
      <c r="H130" s="103" t="s">
        <v>62</v>
      </c>
      <c r="I130" s="91"/>
      <c r="J130" s="91"/>
      <c r="K130" s="91"/>
      <c r="L130" s="140" t="s">
        <v>78</v>
      </c>
      <c r="M130" s="104"/>
      <c r="N130" s="220"/>
      <c r="O130" s="220"/>
      <c r="P130" s="220"/>
      <c r="Q130" s="220"/>
      <c r="R130" s="220"/>
      <c r="S130" s="220"/>
      <c r="T130" s="220"/>
      <c r="U130" s="220"/>
      <c r="V130" s="220"/>
      <c r="W130" s="104"/>
      <c r="X130" s="104"/>
      <c r="Y130" s="104"/>
      <c r="Z130" s="104"/>
      <c r="AA130" s="104"/>
      <c r="AB130" s="104" t="s">
        <v>78</v>
      </c>
      <c r="AC130" s="108"/>
      <c r="AD130" s="109"/>
      <c r="AE130" s="109"/>
      <c r="AF130" s="109" t="s">
        <v>224</v>
      </c>
      <c r="AG130" s="109"/>
      <c r="AH130" s="110"/>
      <c r="AI130" s="110"/>
      <c r="AJ130" s="111"/>
      <c r="AK130" s="111"/>
      <c r="AL130" s="111"/>
      <c r="AM130" s="111"/>
      <c r="AN130" s="111"/>
      <c r="AO130" s="111"/>
      <c r="AP130" s="111"/>
      <c r="AQ130" t="str">
        <f t="shared" ref="AQ130:AQ193" si="4">_xlfn.CONCAT(A130," ---  ",B130)</f>
        <v>3M COMPANY (20027946) ---  EDI Vendor</v>
      </c>
      <c r="BQ130"/>
    </row>
    <row r="131" spans="1:69" ht="15.75" customHeight="1">
      <c r="A131" s="102" t="s">
        <v>229</v>
      </c>
      <c r="B131" s="102" t="s">
        <v>223</v>
      </c>
      <c r="C131" s="102" t="s">
        <v>60</v>
      </c>
      <c r="D131" s="102"/>
      <c r="E131" s="103" t="s">
        <v>788</v>
      </c>
      <c r="F131" s="103"/>
      <c r="G131" s="103" t="s">
        <v>225</v>
      </c>
      <c r="H131" s="103" t="s">
        <v>62</v>
      </c>
      <c r="I131" s="91"/>
      <c r="J131" s="91"/>
      <c r="K131" s="91"/>
      <c r="L131" s="140" t="s">
        <v>78</v>
      </c>
      <c r="M131" s="104"/>
      <c r="N131" s="220"/>
      <c r="O131" s="220"/>
      <c r="P131" s="220"/>
      <c r="Q131" s="220"/>
      <c r="R131" s="220"/>
      <c r="S131" s="220"/>
      <c r="T131" s="220"/>
      <c r="U131" s="220"/>
      <c r="V131" s="220"/>
      <c r="W131" s="104"/>
      <c r="X131" s="104"/>
      <c r="Y131" s="104"/>
      <c r="Z131" s="104"/>
      <c r="AA131" s="104"/>
      <c r="AB131" s="104" t="s">
        <v>78</v>
      </c>
      <c r="AC131" s="108"/>
      <c r="AD131" s="109"/>
      <c r="AE131" s="109"/>
      <c r="AF131" s="109" t="s">
        <v>224</v>
      </c>
      <c r="AG131" s="109"/>
      <c r="AH131" s="110"/>
      <c r="AI131" s="110"/>
      <c r="AJ131" s="111"/>
      <c r="AK131" s="111"/>
      <c r="AL131" s="111"/>
      <c r="AM131" s="111"/>
      <c r="AN131" s="111"/>
      <c r="AO131" s="111"/>
      <c r="AP131" s="111"/>
      <c r="AQ131" t="str">
        <f t="shared" si="4"/>
        <v>ALRO STEEL CORP (20007334) ---  EDI Vendor</v>
      </c>
      <c r="BQ131"/>
    </row>
    <row r="132" spans="1:69" ht="15.75" customHeight="1">
      <c r="A132" s="102" t="s">
        <v>230</v>
      </c>
      <c r="B132" s="102" t="s">
        <v>223</v>
      </c>
      <c r="C132" s="102" t="s">
        <v>60</v>
      </c>
      <c r="D132" s="102"/>
      <c r="E132" s="103" t="s">
        <v>788</v>
      </c>
      <c r="F132" s="103"/>
      <c r="G132" s="103" t="s">
        <v>225</v>
      </c>
      <c r="H132" s="103" t="s">
        <v>62</v>
      </c>
      <c r="I132" s="91"/>
      <c r="J132" s="91"/>
      <c r="K132" s="91"/>
      <c r="L132" s="140" t="s">
        <v>78</v>
      </c>
      <c r="M132" s="104"/>
      <c r="N132" s="220"/>
      <c r="O132" s="220"/>
      <c r="P132" s="220"/>
      <c r="Q132" s="220"/>
      <c r="R132" s="220"/>
      <c r="S132" s="220"/>
      <c r="T132" s="220"/>
      <c r="U132" s="220"/>
      <c r="V132" s="220"/>
      <c r="W132" s="104"/>
      <c r="X132" s="104"/>
      <c r="Y132" s="104"/>
      <c r="Z132" s="104"/>
      <c r="AA132" s="104"/>
      <c r="AB132" s="104" t="s">
        <v>78</v>
      </c>
      <c r="AC132" s="108"/>
      <c r="AD132" s="109"/>
      <c r="AE132" s="109"/>
      <c r="AF132" s="109" t="s">
        <v>224</v>
      </c>
      <c r="AG132" s="109"/>
      <c r="AH132" s="110"/>
      <c r="AI132" s="110"/>
      <c r="AJ132" s="111"/>
      <c r="AK132" s="111"/>
      <c r="AL132" s="111"/>
      <c r="AM132" s="111"/>
      <c r="AN132" s="111"/>
      <c r="AO132" s="111"/>
      <c r="AP132" s="111"/>
      <c r="AQ132" t="str">
        <f t="shared" si="4"/>
        <v>BORDER STATES ELECTRIC SUPPLY (20017997) ---  EDI Vendor</v>
      </c>
      <c r="BQ132"/>
    </row>
    <row r="133" spans="1:69" ht="15.75" customHeight="1">
      <c r="A133" s="102" t="s">
        <v>231</v>
      </c>
      <c r="B133" s="102" t="s">
        <v>223</v>
      </c>
      <c r="C133" s="102" t="s">
        <v>60</v>
      </c>
      <c r="D133" s="102"/>
      <c r="E133" s="103" t="s">
        <v>788</v>
      </c>
      <c r="F133" s="103"/>
      <c r="G133" s="103" t="s">
        <v>225</v>
      </c>
      <c r="H133" s="103" t="s">
        <v>62</v>
      </c>
      <c r="I133" s="91"/>
      <c r="J133" s="91"/>
      <c r="K133" s="91"/>
      <c r="L133" s="140" t="s">
        <v>78</v>
      </c>
      <c r="M133" s="104"/>
      <c r="N133" s="220"/>
      <c r="O133" s="220"/>
      <c r="P133" s="220"/>
      <c r="Q133" s="220"/>
      <c r="R133" s="220"/>
      <c r="S133" s="220"/>
      <c r="T133" s="220"/>
      <c r="U133" s="220"/>
      <c r="V133" s="220"/>
      <c r="W133" s="104"/>
      <c r="X133" s="104"/>
      <c r="Y133" s="104"/>
      <c r="Z133" s="104"/>
      <c r="AA133" s="104"/>
      <c r="AB133" s="104" t="s">
        <v>78</v>
      </c>
      <c r="AC133" s="108"/>
      <c r="AD133" s="109"/>
      <c r="AE133" s="109"/>
      <c r="AF133" s="109" t="s">
        <v>224</v>
      </c>
      <c r="AG133" s="109"/>
      <c r="AH133" s="110"/>
      <c r="AI133" s="110"/>
      <c r="AJ133" s="111"/>
      <c r="AK133" s="111"/>
      <c r="AL133" s="111"/>
      <c r="AM133" s="111"/>
      <c r="AN133" s="111"/>
      <c r="AO133" s="111"/>
      <c r="AP133" s="111"/>
      <c r="AQ133" t="str">
        <f t="shared" si="4"/>
        <v>CHOCTAW-KAUL DISTRIBUTION CO (20013376) ---  EDI Vendor</v>
      </c>
      <c r="BQ133"/>
    </row>
    <row r="134" spans="1:69" ht="15.75" customHeight="1">
      <c r="A134" s="102" t="s">
        <v>232</v>
      </c>
      <c r="B134" s="102" t="s">
        <v>223</v>
      </c>
      <c r="C134" s="102" t="s">
        <v>60</v>
      </c>
      <c r="D134" s="102"/>
      <c r="E134" s="103" t="s">
        <v>788</v>
      </c>
      <c r="F134" s="103"/>
      <c r="G134" s="103" t="s">
        <v>225</v>
      </c>
      <c r="H134" s="103" t="s">
        <v>62</v>
      </c>
      <c r="I134" s="91"/>
      <c r="J134" s="91"/>
      <c r="K134" s="91"/>
      <c r="L134" s="140" t="s">
        <v>78</v>
      </c>
      <c r="M134" s="104"/>
      <c r="N134" s="220"/>
      <c r="O134" s="220"/>
      <c r="P134" s="220"/>
      <c r="Q134" s="220"/>
      <c r="R134" s="220"/>
      <c r="S134" s="220"/>
      <c r="T134" s="220"/>
      <c r="U134" s="220"/>
      <c r="V134" s="220"/>
      <c r="W134" s="104"/>
      <c r="X134" s="104"/>
      <c r="Y134" s="104"/>
      <c r="Z134" s="104"/>
      <c r="AA134" s="104"/>
      <c r="AB134" s="104" t="s">
        <v>78</v>
      </c>
      <c r="AC134" s="108"/>
      <c r="AD134" s="109"/>
      <c r="AE134" s="109"/>
      <c r="AF134" s="109" t="s">
        <v>224</v>
      </c>
      <c r="AG134" s="109"/>
      <c r="AH134" s="110"/>
      <c r="AI134" s="110"/>
      <c r="AJ134" s="111"/>
      <c r="AK134" s="111"/>
      <c r="AL134" s="111"/>
      <c r="AM134" s="111"/>
      <c r="AN134" s="111"/>
      <c r="AO134" s="111"/>
      <c r="AP134" s="111"/>
      <c r="AQ134" t="str">
        <f t="shared" si="4"/>
        <v>COOPER POWER SYSTEMS (20000649) ---  EDI Vendor</v>
      </c>
      <c r="BQ134"/>
    </row>
    <row r="135" spans="1:69" ht="15.75" customHeight="1">
      <c r="A135" s="102" t="s">
        <v>233</v>
      </c>
      <c r="B135" s="102" t="s">
        <v>223</v>
      </c>
      <c r="C135" s="102" t="s">
        <v>60</v>
      </c>
      <c r="D135" s="102"/>
      <c r="E135" s="103" t="s">
        <v>788</v>
      </c>
      <c r="F135" s="103"/>
      <c r="G135" s="103" t="s">
        <v>225</v>
      </c>
      <c r="H135" s="103" t="s">
        <v>62</v>
      </c>
      <c r="I135" s="91"/>
      <c r="J135" s="91"/>
      <c r="K135" s="91"/>
      <c r="L135" s="140" t="s">
        <v>78</v>
      </c>
      <c r="M135" s="104"/>
      <c r="N135" s="220"/>
      <c r="O135" s="220"/>
      <c r="P135" s="220"/>
      <c r="Q135" s="220"/>
      <c r="R135" s="220"/>
      <c r="S135" s="220"/>
      <c r="T135" s="220"/>
      <c r="U135" s="220"/>
      <c r="V135" s="220"/>
      <c r="W135" s="104"/>
      <c r="X135" s="104"/>
      <c r="Y135" s="104"/>
      <c r="Z135" s="104"/>
      <c r="AA135" s="104"/>
      <c r="AB135" s="104" t="s">
        <v>78</v>
      </c>
      <c r="AC135" s="108"/>
      <c r="AD135" s="109"/>
      <c r="AE135" s="109"/>
      <c r="AF135" s="109" t="s">
        <v>224</v>
      </c>
      <c r="AG135" s="109"/>
      <c r="AH135" s="110"/>
      <c r="AI135" s="110"/>
      <c r="AJ135" s="111"/>
      <c r="AK135" s="111"/>
      <c r="AL135" s="111"/>
      <c r="AM135" s="111"/>
      <c r="AN135" s="111"/>
      <c r="AO135" s="111"/>
      <c r="AP135" s="111"/>
      <c r="AQ135" t="str">
        <f t="shared" si="4"/>
        <v>ERMCO (20007248) ---  EDI Vendor</v>
      </c>
      <c r="BQ135"/>
    </row>
    <row r="136" spans="1:69" ht="15.75" customHeight="1">
      <c r="A136" s="102" t="s">
        <v>234</v>
      </c>
      <c r="B136" s="102" t="s">
        <v>223</v>
      </c>
      <c r="C136" s="102" t="s">
        <v>60</v>
      </c>
      <c r="D136" s="102"/>
      <c r="E136" s="103" t="s">
        <v>788</v>
      </c>
      <c r="F136" s="103"/>
      <c r="G136" s="103" t="s">
        <v>225</v>
      </c>
      <c r="H136" s="103" t="s">
        <v>62</v>
      </c>
      <c r="I136" s="91"/>
      <c r="J136" s="91"/>
      <c r="K136" s="91"/>
      <c r="L136" s="140" t="s">
        <v>78</v>
      </c>
      <c r="M136" s="104"/>
      <c r="N136" s="220"/>
      <c r="O136" s="220"/>
      <c r="P136" s="220"/>
      <c r="Q136" s="220"/>
      <c r="R136" s="220"/>
      <c r="S136" s="220"/>
      <c r="T136" s="220"/>
      <c r="U136" s="220"/>
      <c r="V136" s="220"/>
      <c r="W136" s="104"/>
      <c r="X136" s="104"/>
      <c r="Y136" s="104"/>
      <c r="Z136" s="104"/>
      <c r="AA136" s="104"/>
      <c r="AB136" s="104" t="s">
        <v>78</v>
      </c>
      <c r="AC136" s="108"/>
      <c r="AD136" s="109"/>
      <c r="AE136" s="109"/>
      <c r="AF136" s="109" t="s">
        <v>224</v>
      </c>
      <c r="AG136" s="109"/>
      <c r="AH136" s="110"/>
      <c r="AI136" s="110"/>
      <c r="AJ136" s="111"/>
      <c r="AK136" s="111"/>
      <c r="AL136" s="111"/>
      <c r="AM136" s="111"/>
      <c r="AN136" s="111"/>
      <c r="AO136" s="111"/>
      <c r="AP136" s="111"/>
      <c r="AQ136" t="str">
        <f t="shared" si="4"/>
        <v>FLEET CHARGE (20022552) ---  EDI Vendor</v>
      </c>
      <c r="BQ136"/>
    </row>
    <row r="137" spans="1:69" ht="15.75" customHeight="1">
      <c r="A137" s="102" t="s">
        <v>235</v>
      </c>
      <c r="B137" s="102" t="s">
        <v>223</v>
      </c>
      <c r="C137" s="102" t="s">
        <v>60</v>
      </c>
      <c r="D137" s="102"/>
      <c r="E137" s="103" t="s">
        <v>788</v>
      </c>
      <c r="F137" s="103"/>
      <c r="G137" s="103" t="s">
        <v>225</v>
      </c>
      <c r="H137" s="103" t="s">
        <v>62</v>
      </c>
      <c r="I137" s="91"/>
      <c r="J137" s="91"/>
      <c r="K137" s="91"/>
      <c r="L137" s="140" t="s">
        <v>78</v>
      </c>
      <c r="M137" s="104"/>
      <c r="N137" s="220"/>
      <c r="O137" s="220"/>
      <c r="P137" s="220"/>
      <c r="Q137" s="220"/>
      <c r="R137" s="220"/>
      <c r="S137" s="220"/>
      <c r="T137" s="220"/>
      <c r="U137" s="220"/>
      <c r="V137" s="220"/>
      <c r="W137" s="104"/>
      <c r="X137" s="104"/>
      <c r="Y137" s="104"/>
      <c r="Z137" s="104"/>
      <c r="AA137" s="104"/>
      <c r="AB137" s="104" t="s">
        <v>78</v>
      </c>
      <c r="AC137" s="108"/>
      <c r="AD137" s="109"/>
      <c r="AE137" s="109"/>
      <c r="AF137" s="109" t="s">
        <v>224</v>
      </c>
      <c r="AG137" s="109"/>
      <c r="AH137" s="110"/>
      <c r="AI137" s="110"/>
      <c r="AJ137" s="111"/>
      <c r="AK137" s="111"/>
      <c r="AL137" s="111"/>
      <c r="AM137" s="111"/>
      <c r="AN137" s="111"/>
      <c r="AO137" s="111"/>
      <c r="AP137" s="111"/>
      <c r="AQ137" t="str">
        <f t="shared" si="4"/>
        <v>FORBERG SMITH PROCESS SOLUTIONS (20000368) ---  EDI Vendor</v>
      </c>
      <c r="BQ137"/>
    </row>
    <row r="138" spans="1:69" ht="15.75" customHeight="1">
      <c r="A138" s="102" t="s">
        <v>236</v>
      </c>
      <c r="B138" s="102" t="s">
        <v>223</v>
      </c>
      <c r="C138" s="102" t="s">
        <v>60</v>
      </c>
      <c r="D138" s="102"/>
      <c r="E138" s="103" t="s">
        <v>788</v>
      </c>
      <c r="F138" s="103"/>
      <c r="G138" s="103" t="s">
        <v>225</v>
      </c>
      <c r="H138" s="103" t="s">
        <v>62</v>
      </c>
      <c r="I138" s="91"/>
      <c r="J138" s="91"/>
      <c r="K138" s="91"/>
      <c r="L138" s="140" t="s">
        <v>78</v>
      </c>
      <c r="M138" s="104"/>
      <c r="N138" s="220"/>
      <c r="O138" s="220"/>
      <c r="P138" s="220"/>
      <c r="Q138" s="220"/>
      <c r="R138" s="220"/>
      <c r="S138" s="220"/>
      <c r="T138" s="220"/>
      <c r="U138" s="220"/>
      <c r="V138" s="220"/>
      <c r="W138" s="104"/>
      <c r="X138" s="104"/>
      <c r="Y138" s="104"/>
      <c r="Z138" s="104"/>
      <c r="AA138" s="104"/>
      <c r="AB138" s="104" t="s">
        <v>78</v>
      </c>
      <c r="AC138" s="108"/>
      <c r="AD138" s="109"/>
      <c r="AE138" s="109"/>
      <c r="AF138" s="109" t="s">
        <v>224</v>
      </c>
      <c r="AG138" s="109"/>
      <c r="AH138" s="110"/>
      <c r="AI138" s="110"/>
      <c r="AJ138" s="111"/>
      <c r="AK138" s="111"/>
      <c r="AL138" s="111"/>
      <c r="AM138" s="111"/>
      <c r="AN138" s="111"/>
      <c r="AO138" s="111"/>
      <c r="AP138" s="111"/>
      <c r="AQ138" t="str">
        <f t="shared" si="4"/>
        <v>GRAYBAR ELECTRIC COMPANY (20000538) ---  EDI Vendor</v>
      </c>
      <c r="BQ138"/>
    </row>
    <row r="139" spans="1:69" ht="15.75" customHeight="1">
      <c r="A139" s="102" t="s">
        <v>237</v>
      </c>
      <c r="B139" s="102" t="s">
        <v>223</v>
      </c>
      <c r="C139" s="102" t="s">
        <v>60</v>
      </c>
      <c r="D139" s="102"/>
      <c r="E139" s="103" t="s">
        <v>788</v>
      </c>
      <c r="F139" s="103"/>
      <c r="G139" s="103" t="s">
        <v>225</v>
      </c>
      <c r="H139" s="103" t="s">
        <v>62</v>
      </c>
      <c r="I139" s="91"/>
      <c r="J139" s="91"/>
      <c r="K139" s="91"/>
      <c r="L139" s="140" t="s">
        <v>78</v>
      </c>
      <c r="M139" s="104"/>
      <c r="N139" s="220"/>
      <c r="O139" s="220"/>
      <c r="P139" s="220"/>
      <c r="Q139" s="220"/>
      <c r="R139" s="220"/>
      <c r="S139" s="220"/>
      <c r="T139" s="220"/>
      <c r="U139" s="220"/>
      <c r="V139" s="220"/>
      <c r="W139" s="104"/>
      <c r="X139" s="104"/>
      <c r="Y139" s="104"/>
      <c r="Z139" s="104"/>
      <c r="AA139" s="104"/>
      <c r="AB139" s="104" t="s">
        <v>78</v>
      </c>
      <c r="AC139" s="108"/>
      <c r="AD139" s="109"/>
      <c r="AE139" s="109"/>
      <c r="AF139" s="109" t="s">
        <v>224</v>
      </c>
      <c r="AG139" s="109"/>
      <c r="AH139" s="110"/>
      <c r="AI139" s="110"/>
      <c r="AJ139" s="111"/>
      <c r="AK139" s="111"/>
      <c r="AL139" s="111"/>
      <c r="AM139" s="111"/>
      <c r="AN139" s="111"/>
      <c r="AO139" s="111"/>
      <c r="AP139" s="111"/>
      <c r="AQ139" t="str">
        <f t="shared" si="4"/>
        <v>GROEBNER &amp; ASSOCIATES INC (20004145) ---  EDI Vendor</v>
      </c>
      <c r="BQ139"/>
    </row>
    <row r="140" spans="1:69" ht="15.75" customHeight="1">
      <c r="A140" s="102" t="s">
        <v>238</v>
      </c>
      <c r="B140" s="102" t="s">
        <v>223</v>
      </c>
      <c r="C140" s="102" t="s">
        <v>60</v>
      </c>
      <c r="D140" s="102"/>
      <c r="E140" s="103" t="s">
        <v>788</v>
      </c>
      <c r="F140" s="103"/>
      <c r="G140" s="103" t="s">
        <v>225</v>
      </c>
      <c r="H140" s="103" t="s">
        <v>62</v>
      </c>
      <c r="I140" s="91"/>
      <c r="J140" s="91"/>
      <c r="K140" s="91"/>
      <c r="L140" s="140" t="s">
        <v>78</v>
      </c>
      <c r="M140" s="104"/>
      <c r="N140" s="220"/>
      <c r="O140" s="220"/>
      <c r="P140" s="220"/>
      <c r="Q140" s="220"/>
      <c r="R140" s="220"/>
      <c r="S140" s="220"/>
      <c r="T140" s="220"/>
      <c r="U140" s="220"/>
      <c r="V140" s="220"/>
      <c r="W140" s="104"/>
      <c r="X140" s="104"/>
      <c r="Y140" s="104"/>
      <c r="Z140" s="104"/>
      <c r="AA140" s="104"/>
      <c r="AB140" s="104" t="s">
        <v>78</v>
      </c>
      <c r="AC140" s="108"/>
      <c r="AD140" s="109"/>
      <c r="AE140" s="109"/>
      <c r="AF140" s="109" t="s">
        <v>224</v>
      </c>
      <c r="AG140" s="109"/>
      <c r="AH140" s="110"/>
      <c r="AI140" s="110"/>
      <c r="AJ140" s="111"/>
      <c r="AK140" s="111"/>
      <c r="AL140" s="111"/>
      <c r="AM140" s="111"/>
      <c r="AN140" s="111"/>
      <c r="AO140" s="111"/>
      <c r="AP140" s="111"/>
      <c r="AQ140" t="str">
        <f t="shared" si="4"/>
        <v>GROEBNER &amp; ASSOCIATES INC (20009428) ---  EDI Vendor</v>
      </c>
      <c r="BQ140"/>
    </row>
    <row r="141" spans="1:69" ht="15.75" customHeight="1">
      <c r="A141" s="102" t="s">
        <v>239</v>
      </c>
      <c r="B141" s="102" t="s">
        <v>223</v>
      </c>
      <c r="C141" s="102" t="s">
        <v>60</v>
      </c>
      <c r="D141" s="102"/>
      <c r="E141" s="103" t="s">
        <v>788</v>
      </c>
      <c r="F141" s="103"/>
      <c r="G141" s="103" t="s">
        <v>225</v>
      </c>
      <c r="H141" s="103" t="s">
        <v>62</v>
      </c>
      <c r="I141" s="91"/>
      <c r="J141" s="91"/>
      <c r="K141" s="91"/>
      <c r="L141" s="140" t="s">
        <v>78</v>
      </c>
      <c r="M141" s="104"/>
      <c r="N141" s="220"/>
      <c r="O141" s="220"/>
      <c r="P141" s="220"/>
      <c r="Q141" s="220"/>
      <c r="R141" s="220"/>
      <c r="S141" s="220"/>
      <c r="T141" s="220"/>
      <c r="U141" s="220"/>
      <c r="V141" s="220"/>
      <c r="W141" s="104"/>
      <c r="X141" s="104"/>
      <c r="Y141" s="104"/>
      <c r="Z141" s="104"/>
      <c r="AA141" s="104"/>
      <c r="AB141" s="104" t="s">
        <v>78</v>
      </c>
      <c r="AC141" s="108"/>
      <c r="AD141" s="109"/>
      <c r="AE141" s="109"/>
      <c r="AF141" s="109" t="s">
        <v>224</v>
      </c>
      <c r="AG141" s="109"/>
      <c r="AH141" s="110"/>
      <c r="AI141" s="110"/>
      <c r="AJ141" s="111"/>
      <c r="AK141" s="111"/>
      <c r="AL141" s="111"/>
      <c r="AM141" s="111"/>
      <c r="AN141" s="111"/>
      <c r="AO141" s="111"/>
      <c r="AP141" s="111"/>
      <c r="AQ141" t="str">
        <f t="shared" si="4"/>
        <v>HUBBELL POWER SYSTEMS (20010999) ---  EDI Vendor</v>
      </c>
      <c r="BQ141"/>
    </row>
    <row r="142" spans="1:69" ht="15.75" customHeight="1">
      <c r="A142" s="102" t="s">
        <v>240</v>
      </c>
      <c r="B142" s="102" t="s">
        <v>223</v>
      </c>
      <c r="C142" s="102" t="s">
        <v>60</v>
      </c>
      <c r="D142" s="102"/>
      <c r="E142" s="103" t="s">
        <v>788</v>
      </c>
      <c r="F142" s="103"/>
      <c r="G142" s="103" t="s">
        <v>225</v>
      </c>
      <c r="H142" s="103" t="s">
        <v>62</v>
      </c>
      <c r="I142" s="91"/>
      <c r="J142" s="91"/>
      <c r="K142" s="91"/>
      <c r="L142" s="140" t="s">
        <v>78</v>
      </c>
      <c r="M142" s="104"/>
      <c r="N142" s="220"/>
      <c r="O142" s="220"/>
      <c r="P142" s="220"/>
      <c r="Q142" s="220"/>
      <c r="R142" s="220"/>
      <c r="S142" s="220"/>
      <c r="T142" s="220"/>
      <c r="U142" s="220"/>
      <c r="V142" s="220"/>
      <c r="W142" s="104"/>
      <c r="X142" s="104"/>
      <c r="Y142" s="104"/>
      <c r="Z142" s="104"/>
      <c r="AA142" s="104"/>
      <c r="AB142" s="104" t="s">
        <v>78</v>
      </c>
      <c r="AC142" s="108"/>
      <c r="AD142" s="109"/>
      <c r="AE142" s="109"/>
      <c r="AF142" s="109" t="s">
        <v>224</v>
      </c>
      <c r="AG142" s="109"/>
      <c r="AH142" s="110"/>
      <c r="AI142" s="110"/>
      <c r="AJ142" s="111"/>
      <c r="AK142" s="111"/>
      <c r="AL142" s="111"/>
      <c r="AM142" s="111"/>
      <c r="AN142" s="111"/>
      <c r="AO142" s="111"/>
      <c r="AP142" s="111"/>
      <c r="AQ142" t="str">
        <f t="shared" si="4"/>
        <v>MOTION INDUSTRIES INC (20000674) ---  EDI Vendor</v>
      </c>
      <c r="BQ142"/>
    </row>
    <row r="143" spans="1:69" ht="15.75" customHeight="1">
      <c r="A143" s="102" t="s">
        <v>241</v>
      </c>
      <c r="B143" s="102" t="s">
        <v>223</v>
      </c>
      <c r="C143" s="102" t="s">
        <v>60</v>
      </c>
      <c r="D143" s="102"/>
      <c r="E143" s="103" t="s">
        <v>788</v>
      </c>
      <c r="F143" s="103"/>
      <c r="G143" s="103" t="s">
        <v>225</v>
      </c>
      <c r="H143" s="103" t="s">
        <v>62</v>
      </c>
      <c r="I143" s="91"/>
      <c r="J143" s="91"/>
      <c r="K143" s="91"/>
      <c r="L143" s="140" t="s">
        <v>78</v>
      </c>
      <c r="M143" s="104"/>
      <c r="N143" s="220"/>
      <c r="O143" s="220"/>
      <c r="P143" s="220"/>
      <c r="Q143" s="220"/>
      <c r="R143" s="220"/>
      <c r="S143" s="220"/>
      <c r="T143" s="220"/>
      <c r="U143" s="220"/>
      <c r="V143" s="220"/>
      <c r="W143" s="104"/>
      <c r="X143" s="104"/>
      <c r="Y143" s="104"/>
      <c r="Z143" s="104"/>
      <c r="AA143" s="104"/>
      <c r="AB143" s="104" t="s">
        <v>78</v>
      </c>
      <c r="AC143" s="108"/>
      <c r="AD143" s="109"/>
      <c r="AE143" s="109"/>
      <c r="AF143" s="109" t="s">
        <v>224</v>
      </c>
      <c r="AG143" s="109"/>
      <c r="AH143" s="110"/>
      <c r="AI143" s="110"/>
      <c r="AJ143" s="111"/>
      <c r="AK143" s="111"/>
      <c r="AL143" s="111"/>
      <c r="AM143" s="111"/>
      <c r="AN143" s="111"/>
      <c r="AO143" s="111"/>
      <c r="AP143" s="111"/>
      <c r="AQ143" t="str">
        <f t="shared" si="4"/>
        <v>MOTION INDUSTRIES INC (20000676) ---  EDI Vendor</v>
      </c>
      <c r="BQ143"/>
    </row>
    <row r="144" spans="1:69" ht="15.75" customHeight="1">
      <c r="A144" s="102" t="s">
        <v>242</v>
      </c>
      <c r="B144" s="102" t="s">
        <v>223</v>
      </c>
      <c r="C144" s="102" t="s">
        <v>60</v>
      </c>
      <c r="D144" s="102"/>
      <c r="E144" s="103" t="s">
        <v>788</v>
      </c>
      <c r="F144" s="103"/>
      <c r="G144" s="103" t="s">
        <v>225</v>
      </c>
      <c r="H144" s="103" t="s">
        <v>62</v>
      </c>
      <c r="I144" s="91"/>
      <c r="J144" s="91"/>
      <c r="K144" s="91"/>
      <c r="L144" s="140" t="s">
        <v>78</v>
      </c>
      <c r="M144" s="104"/>
      <c r="N144" s="220"/>
      <c r="O144" s="220"/>
      <c r="P144" s="220"/>
      <c r="Q144" s="220"/>
      <c r="R144" s="220"/>
      <c r="S144" s="220"/>
      <c r="T144" s="220"/>
      <c r="U144" s="220"/>
      <c r="V144" s="220"/>
      <c r="W144" s="104"/>
      <c r="X144" s="104"/>
      <c r="Y144" s="104"/>
      <c r="Z144" s="104"/>
      <c r="AA144" s="104"/>
      <c r="AB144" s="104" t="s">
        <v>78</v>
      </c>
      <c r="AC144" s="108"/>
      <c r="AD144" s="109"/>
      <c r="AE144" s="109"/>
      <c r="AF144" s="109" t="s">
        <v>224</v>
      </c>
      <c r="AG144" s="109"/>
      <c r="AH144" s="110"/>
      <c r="AI144" s="110"/>
      <c r="AJ144" s="111"/>
      <c r="AK144" s="111"/>
      <c r="AL144" s="111"/>
      <c r="AM144" s="111"/>
      <c r="AN144" s="111"/>
      <c r="AO144" s="111"/>
      <c r="AP144" s="111"/>
      <c r="AQ144" t="str">
        <f t="shared" si="4"/>
        <v>POWER LINE SUPPLY COMPANY (20000945) ---  EDI Vendor</v>
      </c>
      <c r="BQ144"/>
    </row>
    <row r="145" spans="1:69" ht="15.75" customHeight="1">
      <c r="A145" s="102" t="s">
        <v>98</v>
      </c>
      <c r="B145" s="102" t="s">
        <v>99</v>
      </c>
      <c r="C145" s="102" t="s">
        <v>71</v>
      </c>
      <c r="D145" s="102"/>
      <c r="E145" s="103" t="s">
        <v>792</v>
      </c>
      <c r="F145" s="103"/>
      <c r="G145" s="103" t="s">
        <v>101</v>
      </c>
      <c r="H145" s="103"/>
      <c r="I145" s="91"/>
      <c r="J145" s="91"/>
      <c r="K145" s="91"/>
      <c r="L145" s="140" t="s">
        <v>78</v>
      </c>
      <c r="M145" s="104"/>
      <c r="N145" s="220"/>
      <c r="O145" s="220"/>
      <c r="P145" s="220"/>
      <c r="Q145" s="220"/>
      <c r="R145" s="220"/>
      <c r="S145" s="220"/>
      <c r="T145" s="220"/>
      <c r="U145" s="220"/>
      <c r="V145" s="220"/>
      <c r="W145" s="104"/>
      <c r="X145" s="104"/>
      <c r="Y145" s="104"/>
      <c r="Z145" s="104"/>
      <c r="AA145" s="104"/>
      <c r="AB145" s="104"/>
      <c r="AC145" s="108"/>
      <c r="AD145" s="109"/>
      <c r="AE145" s="109"/>
      <c r="AF145" s="109"/>
      <c r="AG145" s="109"/>
      <c r="AH145" s="110"/>
      <c r="AI145" s="110"/>
      <c r="AJ145" s="111"/>
      <c r="AK145" s="111"/>
      <c r="AL145" s="111"/>
      <c r="AM145" s="111"/>
      <c r="AN145" s="111"/>
      <c r="AO145" s="111"/>
      <c r="AP145" s="111"/>
      <c r="AQ145" t="str">
        <f t="shared" si="4"/>
        <v>Bentley ---  Bentley CONNECTION Client</v>
      </c>
      <c r="BQ145"/>
    </row>
    <row r="146" spans="1:69" ht="15.75" customHeight="1">
      <c r="A146" s="102" t="s">
        <v>98</v>
      </c>
      <c r="B146" s="102" t="s">
        <v>102</v>
      </c>
      <c r="C146" s="102" t="s">
        <v>71</v>
      </c>
      <c r="D146" s="102"/>
      <c r="E146" s="103" t="s">
        <v>792</v>
      </c>
      <c r="F146" s="103"/>
      <c r="G146" s="103" t="s">
        <v>101</v>
      </c>
      <c r="H146" s="103"/>
      <c r="I146" s="91"/>
      <c r="J146" s="91"/>
      <c r="K146" s="91"/>
      <c r="L146" s="140" t="s">
        <v>78</v>
      </c>
      <c r="M146" s="104"/>
      <c r="N146" s="220"/>
      <c r="O146" s="220"/>
      <c r="P146" s="220"/>
      <c r="Q146" s="220"/>
      <c r="R146" s="220"/>
      <c r="S146" s="220"/>
      <c r="T146" s="220"/>
      <c r="U146" s="220"/>
      <c r="V146" s="220"/>
      <c r="W146" s="104"/>
      <c r="X146" s="104"/>
      <c r="Y146" s="104"/>
      <c r="Z146" s="104"/>
      <c r="AA146" s="104"/>
      <c r="AB146" s="104"/>
      <c r="AC146" s="108"/>
      <c r="AD146" s="109"/>
      <c r="AE146" s="109"/>
      <c r="AF146" s="109"/>
      <c r="AG146" s="109"/>
      <c r="AH146" s="110"/>
      <c r="AI146" s="110"/>
      <c r="AJ146" s="111"/>
      <c r="AK146" s="111"/>
      <c r="AL146" s="111"/>
      <c r="AM146" s="111"/>
      <c r="AN146" s="111"/>
      <c r="AO146" s="111"/>
      <c r="AP146" s="111"/>
      <c r="AQ146" t="str">
        <f t="shared" si="4"/>
        <v>Bentley ---  Bentley OpenUtilities Job Scheduler</v>
      </c>
      <c r="BQ146"/>
    </row>
    <row r="147" spans="1:69" ht="15.75" customHeight="1">
      <c r="A147" s="102" t="s">
        <v>98</v>
      </c>
      <c r="B147" s="102" t="s">
        <v>103</v>
      </c>
      <c r="C147" s="102" t="s">
        <v>71</v>
      </c>
      <c r="D147" s="102"/>
      <c r="E147" s="103" t="s">
        <v>792</v>
      </c>
      <c r="F147" s="103"/>
      <c r="G147" s="103" t="s">
        <v>101</v>
      </c>
      <c r="H147" s="103"/>
      <c r="I147" s="91"/>
      <c r="J147" s="91"/>
      <c r="K147" s="91"/>
      <c r="L147" s="140" t="s">
        <v>78</v>
      </c>
      <c r="M147" s="104"/>
      <c r="N147" s="220"/>
      <c r="O147" s="220"/>
      <c r="P147" s="220"/>
      <c r="Q147" s="220"/>
      <c r="R147" s="220"/>
      <c r="S147" s="220"/>
      <c r="T147" s="220"/>
      <c r="U147" s="220"/>
      <c r="V147" s="220"/>
      <c r="W147" s="104"/>
      <c r="X147" s="104"/>
      <c r="Y147" s="104"/>
      <c r="Z147" s="104"/>
      <c r="AA147" s="104"/>
      <c r="AB147" s="104"/>
      <c r="AC147" s="108"/>
      <c r="AD147" s="109"/>
      <c r="AE147" s="109"/>
      <c r="AF147" s="109"/>
      <c r="AG147" s="109"/>
      <c r="AH147" s="110"/>
      <c r="AI147" s="110"/>
      <c r="AJ147" s="111"/>
      <c r="AK147" s="111"/>
      <c r="AL147" s="111"/>
      <c r="AM147" s="111"/>
      <c r="AN147" s="111"/>
      <c r="AO147" s="111"/>
      <c r="AP147" s="111"/>
      <c r="AQ147" t="str">
        <f t="shared" si="4"/>
        <v>Bentley ---  Bentley OpenUtilities Map Connect Edition</v>
      </c>
      <c r="BQ147"/>
    </row>
    <row r="148" spans="1:69" ht="15.75" customHeight="1">
      <c r="A148" s="102" t="s">
        <v>98</v>
      </c>
      <c r="B148" s="102" t="s">
        <v>104</v>
      </c>
      <c r="C148" s="102" t="s">
        <v>71</v>
      </c>
      <c r="D148" s="102"/>
      <c r="E148" s="103" t="s">
        <v>792</v>
      </c>
      <c r="F148" s="103"/>
      <c r="G148" s="103" t="s">
        <v>101</v>
      </c>
      <c r="H148" s="103"/>
      <c r="I148" s="91"/>
      <c r="J148" s="91"/>
      <c r="K148" s="91"/>
      <c r="L148" s="140" t="s">
        <v>78</v>
      </c>
      <c r="M148" s="104"/>
      <c r="N148" s="220"/>
      <c r="O148" s="220"/>
      <c r="P148" s="220"/>
      <c r="Q148" s="220"/>
      <c r="R148" s="220"/>
      <c r="S148" s="220"/>
      <c r="T148" s="220"/>
      <c r="U148" s="220"/>
      <c r="V148" s="220"/>
      <c r="W148" s="104"/>
      <c r="X148" s="104"/>
      <c r="Y148" s="104"/>
      <c r="Z148" s="104"/>
      <c r="AA148" s="104"/>
      <c r="AB148" s="104"/>
      <c r="AC148" s="108"/>
      <c r="AD148" s="109"/>
      <c r="AE148" s="109"/>
      <c r="AF148" s="109"/>
      <c r="AG148" s="109"/>
      <c r="AH148" s="110"/>
      <c r="AI148" s="110"/>
      <c r="AJ148" s="111"/>
      <c r="AK148" s="111"/>
      <c r="AL148" s="111"/>
      <c r="AM148" s="111"/>
      <c r="AN148" s="111"/>
      <c r="AO148" s="111"/>
      <c r="AP148" s="111"/>
      <c r="AQ148" t="str">
        <f t="shared" si="4"/>
        <v>Bentley ---  Bentley OpenUtilities PowerView</v>
      </c>
      <c r="BQ148"/>
    </row>
    <row r="149" spans="1:69" ht="15.75" customHeight="1">
      <c r="A149" s="102" t="s">
        <v>98</v>
      </c>
      <c r="B149" s="102" t="s">
        <v>105</v>
      </c>
      <c r="C149" s="102" t="s">
        <v>71</v>
      </c>
      <c r="D149" s="102"/>
      <c r="E149" s="103" t="s">
        <v>792</v>
      </c>
      <c r="F149" s="103"/>
      <c r="G149" s="103" t="s">
        <v>101</v>
      </c>
      <c r="H149" s="103"/>
      <c r="I149" s="91"/>
      <c r="J149" s="91"/>
      <c r="K149" s="91"/>
      <c r="L149" s="140" t="s">
        <v>78</v>
      </c>
      <c r="M149" s="104"/>
      <c r="N149" s="220"/>
      <c r="O149" s="220"/>
      <c r="P149" s="220"/>
      <c r="Q149" s="220"/>
      <c r="R149" s="220"/>
      <c r="S149" s="220"/>
      <c r="T149" s="220"/>
      <c r="U149" s="220"/>
      <c r="V149" s="220"/>
      <c r="W149" s="104"/>
      <c r="X149" s="104"/>
      <c r="Y149" s="104"/>
      <c r="Z149" s="104"/>
      <c r="AA149" s="104"/>
      <c r="AB149" s="104"/>
      <c r="AC149" s="108"/>
      <c r="AD149" s="109"/>
      <c r="AE149" s="109"/>
      <c r="AF149" s="109"/>
      <c r="AG149" s="109"/>
      <c r="AH149" s="110"/>
      <c r="AI149" s="110"/>
      <c r="AJ149" s="111"/>
      <c r="AK149" s="111"/>
      <c r="AL149" s="111"/>
      <c r="AM149" s="111"/>
      <c r="AN149" s="111"/>
      <c r="AO149" s="111"/>
      <c r="AP149" s="111"/>
      <c r="AQ149" t="str">
        <f t="shared" si="4"/>
        <v>Bentley ---  Bentley OpenUtilities Workflow Manager</v>
      </c>
      <c r="BQ149"/>
    </row>
    <row r="150" spans="1:69" ht="15.75" customHeight="1">
      <c r="A150" s="102" t="s">
        <v>98</v>
      </c>
      <c r="B150" s="102" t="s">
        <v>109</v>
      </c>
      <c r="C150" s="102"/>
      <c r="D150" s="102"/>
      <c r="E150" s="103" t="s">
        <v>792</v>
      </c>
      <c r="F150" s="103"/>
      <c r="G150" s="103" t="s">
        <v>101</v>
      </c>
      <c r="H150" s="103"/>
      <c r="I150" s="91"/>
      <c r="J150" s="91"/>
      <c r="K150" s="91"/>
      <c r="L150" s="140" t="s">
        <v>78</v>
      </c>
      <c r="M150" s="104"/>
      <c r="N150" s="220"/>
      <c r="O150" s="220"/>
      <c r="P150" s="220"/>
      <c r="Q150" s="220"/>
      <c r="R150" s="220"/>
      <c r="S150" s="220"/>
      <c r="T150" s="220"/>
      <c r="U150" s="220"/>
      <c r="V150" s="220"/>
      <c r="W150" s="104"/>
      <c r="X150" s="104"/>
      <c r="Y150" s="104"/>
      <c r="Z150" s="104"/>
      <c r="AA150" s="104"/>
      <c r="AB150" s="104"/>
      <c r="AC150" s="108"/>
      <c r="AD150" s="109"/>
      <c r="AE150" s="109"/>
      <c r="AF150" s="109"/>
      <c r="AG150" s="109"/>
      <c r="AH150" s="110"/>
      <c r="AI150" s="110"/>
      <c r="AJ150" s="111"/>
      <c r="AK150" s="111"/>
      <c r="AL150" s="111"/>
      <c r="AM150" s="111"/>
      <c r="AN150" s="111"/>
      <c r="AO150" s="111"/>
      <c r="AP150" s="111"/>
      <c r="AQ150" t="str">
        <f t="shared" si="4"/>
        <v>Bentley ---  Bentley Select Server</v>
      </c>
      <c r="BQ150"/>
    </row>
    <row r="151" spans="1:69" ht="15.75" customHeight="1">
      <c r="A151" s="102" t="s">
        <v>98</v>
      </c>
      <c r="B151" s="102" t="s">
        <v>387</v>
      </c>
      <c r="C151" s="102" t="s">
        <v>71</v>
      </c>
      <c r="D151" s="102"/>
      <c r="E151" s="103" t="s">
        <v>792</v>
      </c>
      <c r="F151" s="103"/>
      <c r="G151" s="103" t="s">
        <v>101</v>
      </c>
      <c r="H151" s="103"/>
      <c r="I151" s="91"/>
      <c r="J151" s="91"/>
      <c r="K151" s="91"/>
      <c r="L151" s="140" t="s">
        <v>78</v>
      </c>
      <c r="M151" s="104"/>
      <c r="N151" s="220"/>
      <c r="O151" s="220"/>
      <c r="P151" s="220"/>
      <c r="Q151" s="220"/>
      <c r="R151" s="220"/>
      <c r="S151" s="220"/>
      <c r="T151" s="220"/>
      <c r="U151" s="220"/>
      <c r="V151" s="220"/>
      <c r="W151" s="104"/>
      <c r="X151" s="104"/>
      <c r="Y151" s="104"/>
      <c r="Z151" s="104"/>
      <c r="AA151" s="104"/>
      <c r="AB151" s="104"/>
      <c r="AC151" s="108"/>
      <c r="AD151" s="109"/>
      <c r="AE151" s="109"/>
      <c r="AF151" s="109"/>
      <c r="AG151" s="109"/>
      <c r="AH151" s="110"/>
      <c r="AI151" s="110"/>
      <c r="AJ151" s="111"/>
      <c r="AK151" s="111"/>
      <c r="AL151" s="111"/>
      <c r="AM151" s="111"/>
      <c r="AN151" s="111"/>
      <c r="AO151" s="111"/>
      <c r="AP151" s="111"/>
      <c r="AQ151" t="str">
        <f t="shared" si="4"/>
        <v>Bentley ---  MICROSTATION</v>
      </c>
      <c r="BQ151"/>
    </row>
    <row r="152" spans="1:69" ht="15.75" customHeight="1">
      <c r="A152" s="102" t="s">
        <v>358</v>
      </c>
      <c r="B152" s="102" t="s">
        <v>406</v>
      </c>
      <c r="C152" s="102" t="s">
        <v>71</v>
      </c>
      <c r="D152" s="102"/>
      <c r="E152" s="103" t="s">
        <v>792</v>
      </c>
      <c r="F152" s="103"/>
      <c r="G152" s="103" t="s">
        <v>407</v>
      </c>
      <c r="H152" s="103"/>
      <c r="I152" s="91"/>
      <c r="J152" s="91"/>
      <c r="K152" s="91"/>
      <c r="L152" s="140" t="s">
        <v>78</v>
      </c>
      <c r="M152" s="104"/>
      <c r="N152" s="220"/>
      <c r="O152" s="220"/>
      <c r="P152" s="220"/>
      <c r="Q152" s="220"/>
      <c r="R152" s="220"/>
      <c r="S152" s="220"/>
      <c r="T152" s="220"/>
      <c r="U152" s="220"/>
      <c r="V152" s="220"/>
      <c r="W152" s="104"/>
      <c r="X152" s="104"/>
      <c r="Y152" s="104"/>
      <c r="Z152" s="104"/>
      <c r="AA152" s="104"/>
      <c r="AB152" s="104"/>
      <c r="AC152" s="108"/>
      <c r="AD152" s="109"/>
      <c r="AE152" s="109"/>
      <c r="AF152" s="109" t="s">
        <v>668</v>
      </c>
      <c r="AG152" s="109"/>
      <c r="AH152" s="110"/>
      <c r="AI152" s="110"/>
      <c r="AJ152" s="111"/>
      <c r="AK152" s="111"/>
      <c r="AL152" s="111"/>
      <c r="AM152" s="111"/>
      <c r="AN152" s="111"/>
      <c r="AO152" s="111"/>
      <c r="AP152" s="111"/>
      <c r="AQ152" t="str">
        <f t="shared" si="4"/>
        <v>Itron ---  Openway Collection Engine</v>
      </c>
      <c r="BQ152"/>
    </row>
    <row r="153" spans="1:69" ht="15.75" customHeight="1">
      <c r="A153" s="102" t="s">
        <v>358</v>
      </c>
      <c r="B153" s="102" t="s">
        <v>408</v>
      </c>
      <c r="C153" s="102" t="s">
        <v>71</v>
      </c>
      <c r="D153" s="102"/>
      <c r="E153" s="103" t="s">
        <v>792</v>
      </c>
      <c r="F153" s="103"/>
      <c r="G153" s="103" t="s">
        <v>409</v>
      </c>
      <c r="H153" s="103"/>
      <c r="I153" s="91"/>
      <c r="J153" s="91"/>
      <c r="K153" s="91"/>
      <c r="L153" s="140" t="s">
        <v>78</v>
      </c>
      <c r="M153" s="104"/>
      <c r="N153" s="220"/>
      <c r="O153" s="220"/>
      <c r="P153" s="220"/>
      <c r="Q153" s="220"/>
      <c r="R153" s="220"/>
      <c r="S153" s="220"/>
      <c r="T153" s="220"/>
      <c r="U153" s="220"/>
      <c r="V153" s="220"/>
      <c r="W153" s="104"/>
      <c r="X153" s="104"/>
      <c r="Y153" s="104"/>
      <c r="Z153" s="104"/>
      <c r="AA153" s="104"/>
      <c r="AB153" s="104"/>
      <c r="AC153" s="108"/>
      <c r="AD153" s="109"/>
      <c r="AE153" s="109"/>
      <c r="AF153" s="109"/>
      <c r="AG153" s="109"/>
      <c r="AH153" s="110"/>
      <c r="AI153" s="110"/>
      <c r="AJ153" s="111"/>
      <c r="AK153" s="111"/>
      <c r="AL153" s="111"/>
      <c r="AM153" s="111"/>
      <c r="AN153" s="111"/>
      <c r="AO153" s="111"/>
      <c r="AP153" s="111"/>
      <c r="AQ153" t="str">
        <f t="shared" si="4"/>
        <v>Itron ---  OpenWay Collection Engine
Itron FCS
Openway FieldPro
MV-90</v>
      </c>
      <c r="BQ153"/>
    </row>
    <row r="154" spans="1:69" ht="15.75" customHeight="1">
      <c r="A154" s="131" t="s">
        <v>85</v>
      </c>
      <c r="B154" s="102" t="s">
        <v>85</v>
      </c>
      <c r="C154" s="131" t="s">
        <v>71</v>
      </c>
      <c r="D154" s="131"/>
      <c r="E154" s="103" t="s">
        <v>792</v>
      </c>
      <c r="F154" s="103"/>
      <c r="G154" s="132" t="s">
        <v>87</v>
      </c>
      <c r="H154" s="132"/>
      <c r="I154" s="91"/>
      <c r="J154" s="91"/>
      <c r="K154" s="91"/>
      <c r="L154" s="140" t="s">
        <v>78</v>
      </c>
      <c r="M154" s="104"/>
      <c r="N154" s="220"/>
      <c r="O154" s="220"/>
      <c r="P154" s="220"/>
      <c r="Q154" s="220"/>
      <c r="R154" s="220"/>
      <c r="S154" s="220"/>
      <c r="T154" s="220"/>
      <c r="U154" s="220"/>
      <c r="V154" s="220"/>
      <c r="W154" s="104"/>
      <c r="X154" s="104"/>
      <c r="Y154" s="104"/>
      <c r="Z154" s="104"/>
      <c r="AA154" s="104"/>
      <c r="AB154" s="133"/>
      <c r="AC154" s="108"/>
      <c r="AD154" s="109"/>
      <c r="AE154" s="109"/>
      <c r="AF154" s="109"/>
      <c r="AG154" s="109"/>
      <c r="AH154" s="110"/>
      <c r="AI154" s="110"/>
      <c r="AJ154" s="111"/>
      <c r="AK154" s="111"/>
      <c r="AL154" s="111"/>
      <c r="AM154" s="111"/>
      <c r="AN154" s="111"/>
      <c r="AO154" s="111"/>
      <c r="AP154" s="111"/>
      <c r="AQ154" t="str">
        <f t="shared" si="4"/>
        <v>ARCOS ---  ARCOS</v>
      </c>
      <c r="BQ154"/>
    </row>
    <row r="155" spans="1:69" ht="15.75" customHeight="1">
      <c r="A155" s="102" t="s">
        <v>793</v>
      </c>
      <c r="B155" s="102" t="s">
        <v>323</v>
      </c>
      <c r="C155" s="102" t="s">
        <v>71</v>
      </c>
      <c r="D155" s="102"/>
      <c r="E155" s="103" t="s">
        <v>792</v>
      </c>
      <c r="F155" s="103"/>
      <c r="G155" s="103" t="s">
        <v>324</v>
      </c>
      <c r="H155" s="103"/>
      <c r="I155" s="91"/>
      <c r="J155" s="91"/>
      <c r="K155" s="91"/>
      <c r="L155" s="140" t="s">
        <v>78</v>
      </c>
      <c r="M155" s="104"/>
      <c r="N155" s="220"/>
      <c r="O155" s="220"/>
      <c r="P155" s="220"/>
      <c r="Q155" s="220"/>
      <c r="R155" s="220"/>
      <c r="S155" s="220"/>
      <c r="T155" s="220"/>
      <c r="U155" s="220"/>
      <c r="V155" s="220"/>
      <c r="W155" s="104"/>
      <c r="X155" s="104"/>
      <c r="Y155" s="104"/>
      <c r="Z155" s="104"/>
      <c r="AA155" s="104"/>
      <c r="AB155" s="104"/>
      <c r="AC155" s="108"/>
      <c r="AD155" s="109"/>
      <c r="AE155" s="109"/>
      <c r="AF155" s="109"/>
      <c r="AG155" s="109"/>
      <c r="AH155" s="110"/>
      <c r="AI155" s="110"/>
      <c r="AJ155" s="111"/>
      <c r="AK155" s="111"/>
      <c r="AL155" s="111"/>
      <c r="AM155" s="111"/>
      <c r="AN155" s="111"/>
      <c r="AO155" s="111"/>
      <c r="AP155" s="111"/>
      <c r="AQ155" t="str">
        <f t="shared" si="4"/>
        <v>In house &amp; ESRI  ---  GCON Property Restoration</v>
      </c>
      <c r="BQ155"/>
    </row>
    <row r="156" spans="1:69" ht="15.75" customHeight="1">
      <c r="A156" s="102" t="s">
        <v>98</v>
      </c>
      <c r="B156" s="102" t="s">
        <v>106</v>
      </c>
      <c r="C156" s="102" t="s">
        <v>71</v>
      </c>
      <c r="D156" s="102"/>
      <c r="E156" s="103" t="s">
        <v>792</v>
      </c>
      <c r="F156" s="103"/>
      <c r="G156" s="103" t="s">
        <v>108</v>
      </c>
      <c r="H156" s="103"/>
      <c r="I156" s="91"/>
      <c r="J156" s="91"/>
      <c r="K156" s="91"/>
      <c r="L156" s="140" t="s">
        <v>78</v>
      </c>
      <c r="M156" s="104"/>
      <c r="N156" s="220"/>
      <c r="O156" s="220"/>
      <c r="P156" s="220"/>
      <c r="Q156" s="220"/>
      <c r="R156" s="220"/>
      <c r="S156" s="220"/>
      <c r="T156" s="220"/>
      <c r="U156" s="220"/>
      <c r="V156" s="220"/>
      <c r="W156" s="104"/>
      <c r="X156" s="104"/>
      <c r="Y156" s="104"/>
      <c r="Z156" s="104"/>
      <c r="AA156" s="104"/>
      <c r="AB156" s="104"/>
      <c r="AC156" s="108"/>
      <c r="AD156" s="109"/>
      <c r="AE156" s="109"/>
      <c r="AF156" s="109"/>
      <c r="AG156" s="109"/>
      <c r="AH156" s="110"/>
      <c r="AI156" s="110"/>
      <c r="AJ156" s="111"/>
      <c r="AK156" s="111"/>
      <c r="AL156" s="111"/>
      <c r="AM156" s="111"/>
      <c r="AN156" s="111"/>
      <c r="AO156" s="111"/>
      <c r="AP156" s="111"/>
      <c r="AQ156" t="str">
        <f t="shared" si="4"/>
        <v>Bentley ---  Bentley ProjectWise</v>
      </c>
      <c r="BQ156"/>
    </row>
    <row r="157" spans="1:69" ht="15.75" customHeight="1">
      <c r="A157" s="102" t="s">
        <v>260</v>
      </c>
      <c r="B157" s="102" t="s">
        <v>261</v>
      </c>
      <c r="C157" s="102" t="s">
        <v>71</v>
      </c>
      <c r="D157" s="102"/>
      <c r="E157" s="103" t="s">
        <v>792</v>
      </c>
      <c r="F157" s="103"/>
      <c r="G157" s="103" t="s">
        <v>262</v>
      </c>
      <c r="H157" s="103"/>
      <c r="I157" s="91"/>
      <c r="J157" s="91"/>
      <c r="K157" s="91"/>
      <c r="L157" s="140" t="s">
        <v>78</v>
      </c>
      <c r="M157" s="104"/>
      <c r="N157" s="220"/>
      <c r="O157" s="220"/>
      <c r="P157" s="220"/>
      <c r="Q157" s="220"/>
      <c r="R157" s="220"/>
      <c r="S157" s="220"/>
      <c r="T157" s="220"/>
      <c r="U157" s="220"/>
      <c r="V157" s="220"/>
      <c r="W157" s="104"/>
      <c r="X157" s="104"/>
      <c r="Y157" s="104"/>
      <c r="Z157" s="104"/>
      <c r="AA157" s="104"/>
      <c r="AB157" s="104"/>
      <c r="AC157" s="108"/>
      <c r="AD157" s="109"/>
      <c r="AE157" s="109"/>
      <c r="AF157" s="109"/>
      <c r="AG157" s="109"/>
      <c r="AH157" s="110"/>
      <c r="AI157" s="110"/>
      <c r="AJ157" s="111"/>
      <c r="AK157" s="111"/>
      <c r="AL157" s="111"/>
      <c r="AM157" s="111"/>
      <c r="AN157" s="111"/>
      <c r="AO157" s="111"/>
      <c r="AP157" s="111"/>
      <c r="AQ157" t="str">
        <f t="shared" si="4"/>
        <v xml:space="preserve">Energy World Net ---  EWN </v>
      </c>
      <c r="BQ157"/>
    </row>
    <row r="158" spans="1:69" ht="15.75" customHeight="1">
      <c r="A158" s="102" t="s">
        <v>479</v>
      </c>
      <c r="B158" s="102" t="s">
        <v>794</v>
      </c>
      <c r="C158" s="102" t="s">
        <v>71</v>
      </c>
      <c r="D158" s="102"/>
      <c r="E158" s="103" t="s">
        <v>792</v>
      </c>
      <c r="F158" s="103"/>
      <c r="G158" s="103" t="s">
        <v>481</v>
      </c>
      <c r="H158" s="103"/>
      <c r="I158" s="91"/>
      <c r="J158" s="91"/>
      <c r="K158" s="91"/>
      <c r="L158" s="140" t="s">
        <v>78</v>
      </c>
      <c r="M158" s="104"/>
      <c r="N158" s="220"/>
      <c r="O158" s="220"/>
      <c r="P158" s="220"/>
      <c r="Q158" s="220"/>
      <c r="R158" s="220"/>
      <c r="S158" s="220"/>
      <c r="T158" s="220"/>
      <c r="U158" s="220"/>
      <c r="V158" s="220"/>
      <c r="W158" s="104"/>
      <c r="X158" s="104"/>
      <c r="Y158" s="104"/>
      <c r="Z158" s="104"/>
      <c r="AA158" s="104"/>
      <c r="AB158" s="104"/>
      <c r="AC158" s="108"/>
      <c r="AD158" s="109"/>
      <c r="AE158" s="109"/>
      <c r="AF158" s="109"/>
      <c r="AG158" s="109"/>
      <c r="AH158" s="110"/>
      <c r="AI158" s="110"/>
      <c r="AJ158" s="111"/>
      <c r="AK158" s="111"/>
      <c r="AL158" s="111"/>
      <c r="AM158" s="111"/>
      <c r="AN158" s="111"/>
      <c r="AO158" s="111"/>
      <c r="AP158" s="111"/>
      <c r="AQ158" t="str">
        <f t="shared" si="4"/>
        <v>IEE ---  Smart Meter data Integration</v>
      </c>
      <c r="BQ158"/>
    </row>
    <row r="159" spans="1:69" ht="15.75" customHeight="1">
      <c r="A159" s="102" t="s">
        <v>482</v>
      </c>
      <c r="B159" s="102" t="s">
        <v>483</v>
      </c>
      <c r="C159" s="102" t="s">
        <v>71</v>
      </c>
      <c r="D159" s="102"/>
      <c r="E159" s="103" t="s">
        <v>792</v>
      </c>
      <c r="F159" s="103"/>
      <c r="G159" s="103" t="s">
        <v>485</v>
      </c>
      <c r="H159" s="103"/>
      <c r="I159" s="91"/>
      <c r="J159" s="91"/>
      <c r="K159" s="91"/>
      <c r="L159" s="140" t="s">
        <v>78</v>
      </c>
      <c r="M159" s="104"/>
      <c r="N159" s="220"/>
      <c r="O159" s="220"/>
      <c r="P159" s="220"/>
      <c r="Q159" s="220"/>
      <c r="R159" s="220"/>
      <c r="S159" s="220"/>
      <c r="T159" s="220"/>
      <c r="U159" s="220"/>
      <c r="V159" s="220"/>
      <c r="W159" s="104"/>
      <c r="X159" s="104"/>
      <c r="Y159" s="104"/>
      <c r="Z159" s="104"/>
      <c r="AA159" s="104"/>
      <c r="AB159" s="104"/>
      <c r="AC159" s="108"/>
      <c r="AD159" s="109"/>
      <c r="AE159" s="109"/>
      <c r="AF159" s="109"/>
      <c r="AG159" s="109"/>
      <c r="AH159" s="110"/>
      <c r="AI159" s="110"/>
      <c r="AJ159" s="111"/>
      <c r="AK159" s="111"/>
      <c r="AL159" s="111"/>
      <c r="AM159" s="111"/>
      <c r="AN159" s="111"/>
      <c r="AO159" s="111"/>
      <c r="AP159" s="111"/>
      <c r="AQ159" t="str">
        <f t="shared" si="4"/>
        <v>Radian Research, Inc. ---  SNAP</v>
      </c>
      <c r="BQ159"/>
    </row>
    <row r="160" spans="1:69" ht="15.75" customHeight="1">
      <c r="A160" s="102" t="s">
        <v>171</v>
      </c>
      <c r="B160" s="102" t="s">
        <v>171</v>
      </c>
      <c r="C160" s="102" t="s">
        <v>71</v>
      </c>
      <c r="D160" s="102"/>
      <c r="E160" s="103" t="s">
        <v>792</v>
      </c>
      <c r="F160" s="103"/>
      <c r="G160" s="103" t="s">
        <v>173</v>
      </c>
      <c r="H160" s="103"/>
      <c r="I160" s="91"/>
      <c r="J160" s="91"/>
      <c r="K160" s="91"/>
      <c r="L160" s="140" t="s">
        <v>78</v>
      </c>
      <c r="M160" s="104"/>
      <c r="N160" s="220"/>
      <c r="O160" s="220"/>
      <c r="P160" s="220"/>
      <c r="Q160" s="220"/>
      <c r="R160" s="220"/>
      <c r="S160" s="220"/>
      <c r="T160" s="220"/>
      <c r="U160" s="220"/>
      <c r="V160" s="220"/>
      <c r="W160" s="104"/>
      <c r="X160" s="104"/>
      <c r="Y160" s="104"/>
      <c r="Z160" s="104"/>
      <c r="AA160" s="104"/>
      <c r="AB160" s="104"/>
      <c r="AC160" s="108"/>
      <c r="AD160" s="109"/>
      <c r="AE160" s="109"/>
      <c r="AF160" s="109"/>
      <c r="AG160" s="109"/>
      <c r="AH160" s="110"/>
      <c r="AI160" s="110"/>
      <c r="AJ160" s="111"/>
      <c r="AK160" s="111"/>
      <c r="AL160" s="111"/>
      <c r="AM160" s="111"/>
      <c r="AN160" s="111"/>
      <c r="AO160" s="111"/>
      <c r="AP160" s="111"/>
      <c r="AQ160" t="str">
        <f t="shared" si="4"/>
        <v>CopperLeaf ---  CopperLeaf</v>
      </c>
      <c r="BQ160"/>
    </row>
    <row r="161" spans="1:69" ht="15.75" customHeight="1">
      <c r="A161" s="102" t="s">
        <v>174</v>
      </c>
      <c r="B161" s="102" t="s">
        <v>174</v>
      </c>
      <c r="C161" s="102" t="s">
        <v>71</v>
      </c>
      <c r="D161" s="102"/>
      <c r="E161" s="103" t="s">
        <v>792</v>
      </c>
      <c r="F161" s="103"/>
      <c r="G161" s="103" t="s">
        <v>173</v>
      </c>
      <c r="H161" s="103"/>
      <c r="I161" s="91"/>
      <c r="J161" s="91"/>
      <c r="K161" s="91"/>
      <c r="L161" s="140" t="s">
        <v>78</v>
      </c>
      <c r="M161" s="104"/>
      <c r="N161" s="220"/>
      <c r="O161" s="220"/>
      <c r="P161" s="220"/>
      <c r="Q161" s="220"/>
      <c r="R161" s="220"/>
      <c r="S161" s="220"/>
      <c r="T161" s="220"/>
      <c r="U161" s="220"/>
      <c r="V161" s="220"/>
      <c r="W161" s="104"/>
      <c r="X161" s="104"/>
      <c r="Y161" s="104"/>
      <c r="Z161" s="104"/>
      <c r="AA161" s="104"/>
      <c r="AB161" s="104"/>
      <c r="AC161" s="108"/>
      <c r="AD161" s="109"/>
      <c r="AE161" s="109"/>
      <c r="AF161" s="109"/>
      <c r="AG161" s="109"/>
      <c r="AH161" s="110"/>
      <c r="AI161" s="110"/>
      <c r="AJ161" s="111"/>
      <c r="AK161" s="111"/>
      <c r="AL161" s="111"/>
      <c r="AM161" s="111"/>
      <c r="AN161" s="111"/>
      <c r="AO161" s="111"/>
      <c r="AP161" s="111"/>
      <c r="AQ161" t="str">
        <f t="shared" si="4"/>
        <v>Copperleaf ---  Copperleaf</v>
      </c>
      <c r="BQ161"/>
    </row>
    <row r="162" spans="1:69" ht="15.75" customHeight="1">
      <c r="A162" s="102" t="s">
        <v>273</v>
      </c>
      <c r="B162" s="102" t="s">
        <v>274</v>
      </c>
      <c r="C162" s="102" t="s">
        <v>71</v>
      </c>
      <c r="D162" s="102"/>
      <c r="E162" s="103" t="s">
        <v>792</v>
      </c>
      <c r="F162" s="103"/>
      <c r="G162" s="103" t="s">
        <v>276</v>
      </c>
      <c r="H162" s="103"/>
      <c r="I162" s="91"/>
      <c r="J162" s="91"/>
      <c r="K162" s="91"/>
      <c r="L162" s="140" t="s">
        <v>78</v>
      </c>
      <c r="M162" s="104"/>
      <c r="N162" s="220"/>
      <c r="O162" s="220"/>
      <c r="P162" s="220"/>
      <c r="Q162" s="220"/>
      <c r="R162" s="220"/>
      <c r="S162" s="220"/>
      <c r="T162" s="220"/>
      <c r="U162" s="220"/>
      <c r="V162" s="220"/>
      <c r="W162" s="104"/>
      <c r="X162" s="104"/>
      <c r="Y162" s="104"/>
      <c r="Z162" s="104"/>
      <c r="AA162" s="104"/>
      <c r="AB162" s="104"/>
      <c r="AC162" s="108"/>
      <c r="AD162" s="109"/>
      <c r="AE162" s="109"/>
      <c r="AF162" s="109"/>
      <c r="AG162" s="109"/>
      <c r="AH162" s="110"/>
      <c r="AI162" s="110"/>
      <c r="AJ162" s="111"/>
      <c r="AK162" s="111"/>
      <c r="AL162" s="111"/>
      <c r="AM162" s="111"/>
      <c r="AN162" s="111"/>
      <c r="AO162" s="111"/>
      <c r="AP162" s="111"/>
      <c r="AQ162" t="str">
        <f t="shared" si="4"/>
        <v>FieldNet ---  FieldNet Meter Reading System</v>
      </c>
      <c r="BQ162"/>
    </row>
    <row r="163" spans="1:69" ht="15.75" customHeight="1">
      <c r="A163" s="102" t="s">
        <v>68</v>
      </c>
      <c r="B163" s="102" t="s">
        <v>418</v>
      </c>
      <c r="C163" s="102" t="s">
        <v>71</v>
      </c>
      <c r="D163" s="102"/>
      <c r="E163" s="103" t="s">
        <v>792</v>
      </c>
      <c r="F163" s="103"/>
      <c r="G163" s="103" t="s">
        <v>419</v>
      </c>
      <c r="H163" s="103"/>
      <c r="I163" s="91"/>
      <c r="J163" s="91"/>
      <c r="K163" s="91"/>
      <c r="L163" s="140" t="s">
        <v>78</v>
      </c>
      <c r="M163" s="104"/>
      <c r="N163" s="220"/>
      <c r="O163" s="220"/>
      <c r="P163" s="220"/>
      <c r="Q163" s="220"/>
      <c r="R163" s="220"/>
      <c r="S163" s="220"/>
      <c r="T163" s="220"/>
      <c r="U163" s="220"/>
      <c r="V163" s="220"/>
      <c r="W163" s="104"/>
      <c r="X163" s="104"/>
      <c r="Y163" s="104"/>
      <c r="Z163" s="104"/>
      <c r="AA163" s="104"/>
      <c r="AB163" s="104"/>
      <c r="AC163" s="108"/>
      <c r="AD163" s="109"/>
      <c r="AE163" s="109"/>
      <c r="AF163" s="109"/>
      <c r="AG163" s="109"/>
      <c r="AH163" s="110"/>
      <c r="AI163" s="110"/>
      <c r="AJ163" s="111"/>
      <c r="AK163" s="111"/>
      <c r="AL163" s="111"/>
      <c r="AM163" s="111"/>
      <c r="AN163" s="111"/>
      <c r="AO163" s="111"/>
      <c r="AP163" s="111"/>
      <c r="AQ163" t="str">
        <f t="shared" si="4"/>
        <v>AspenTech (OSII) ---  PI GAS AMR</v>
      </c>
      <c r="BQ163"/>
    </row>
    <row r="164" spans="1:69" ht="15.75" customHeight="1">
      <c r="A164" s="102" t="s">
        <v>257</v>
      </c>
      <c r="B164" s="102" t="s">
        <v>258</v>
      </c>
      <c r="C164" s="102" t="s">
        <v>71</v>
      </c>
      <c r="D164" s="102"/>
      <c r="E164" s="103" t="s">
        <v>792</v>
      </c>
      <c r="F164" s="103"/>
      <c r="G164" s="103" t="s">
        <v>259</v>
      </c>
      <c r="H164" s="103"/>
      <c r="I164" s="91"/>
      <c r="J164" s="91"/>
      <c r="K164" s="91"/>
      <c r="L164" s="140" t="s">
        <v>78</v>
      </c>
      <c r="M164" s="104"/>
      <c r="N164" s="220"/>
      <c r="O164" s="220"/>
      <c r="P164" s="220"/>
      <c r="Q164" s="220"/>
      <c r="R164" s="220"/>
      <c r="S164" s="220"/>
      <c r="T164" s="220"/>
      <c r="U164" s="220"/>
      <c r="V164" s="220"/>
      <c r="W164" s="104"/>
      <c r="X164" s="104"/>
      <c r="Y164" s="104"/>
      <c r="Z164" s="104"/>
      <c r="AA164" s="104"/>
      <c r="AB164" s="104"/>
      <c r="AC164" s="108"/>
      <c r="AD164" s="109"/>
      <c r="AE164" s="109"/>
      <c r="AF164" s="109"/>
      <c r="AG164" s="109"/>
      <c r="AH164" s="110"/>
      <c r="AI164" s="110"/>
      <c r="AJ164" s="111"/>
      <c r="AK164" s="111"/>
      <c r="AL164" s="111"/>
      <c r="AM164" s="111"/>
      <c r="AN164" s="111"/>
      <c r="AO164" s="111"/>
      <c r="AP164" s="111"/>
      <c r="AQ164" t="str">
        <f t="shared" si="4"/>
        <v>Hitachi ---  eSOMS</v>
      </c>
      <c r="BQ164"/>
    </row>
    <row r="165" spans="1:69" ht="15.75" customHeight="1">
      <c r="A165" s="102" t="s">
        <v>257</v>
      </c>
      <c r="B165" s="102" t="s">
        <v>464</v>
      </c>
      <c r="C165" s="102" t="s">
        <v>71</v>
      </c>
      <c r="D165" s="102"/>
      <c r="E165" s="103" t="s">
        <v>792</v>
      </c>
      <c r="F165" s="103"/>
      <c r="G165" s="103" t="s">
        <v>259</v>
      </c>
      <c r="H165" s="103"/>
      <c r="I165" s="91"/>
      <c r="J165" s="91"/>
      <c r="K165" s="91"/>
      <c r="L165" s="140" t="s">
        <v>78</v>
      </c>
      <c r="M165" s="104"/>
      <c r="N165" s="220"/>
      <c r="O165" s="220"/>
      <c r="P165" s="220"/>
      <c r="Q165" s="220"/>
      <c r="R165" s="220"/>
      <c r="S165" s="220"/>
      <c r="T165" s="220"/>
      <c r="U165" s="220"/>
      <c r="V165" s="220"/>
      <c r="W165" s="104"/>
      <c r="X165" s="104"/>
      <c r="Y165" s="104"/>
      <c r="Z165" s="104"/>
      <c r="AA165" s="104"/>
      <c r="AB165" s="104"/>
      <c r="AC165" s="108"/>
      <c r="AD165" s="109"/>
      <c r="AE165" s="109"/>
      <c r="AF165" s="109"/>
      <c r="AG165" s="109"/>
      <c r="AH165" s="110"/>
      <c r="AI165" s="110"/>
      <c r="AJ165" s="111"/>
      <c r="AK165" s="111"/>
      <c r="AL165" s="111"/>
      <c r="AM165" s="111"/>
      <c r="AN165" s="111"/>
      <c r="AO165" s="111"/>
      <c r="AP165" s="111"/>
      <c r="AQ165" t="str">
        <f t="shared" si="4"/>
        <v>Hitachi ---  SAP WAM eSOMS Interface</v>
      </c>
      <c r="BQ165"/>
    </row>
    <row r="166" spans="1:69" ht="15.75" customHeight="1">
      <c r="A166" s="102" t="s">
        <v>358</v>
      </c>
      <c r="B166" s="102" t="s">
        <v>359</v>
      </c>
      <c r="C166" s="102" t="s">
        <v>71</v>
      </c>
      <c r="D166" s="102"/>
      <c r="E166" s="103" t="s">
        <v>792</v>
      </c>
      <c r="F166" s="103"/>
      <c r="G166" s="103" t="s">
        <v>259</v>
      </c>
      <c r="H166" s="103"/>
      <c r="I166" s="91"/>
      <c r="J166" s="91"/>
      <c r="K166" s="91"/>
      <c r="L166" s="140" t="s">
        <v>78</v>
      </c>
      <c r="M166" s="104"/>
      <c r="N166" s="220"/>
      <c r="O166" s="220"/>
      <c r="P166" s="220"/>
      <c r="Q166" s="220"/>
      <c r="R166" s="220"/>
      <c r="S166" s="220"/>
      <c r="T166" s="220"/>
      <c r="U166" s="220"/>
      <c r="V166" s="220"/>
      <c r="W166" s="104"/>
      <c r="X166" s="104"/>
      <c r="Y166" s="104"/>
      <c r="Z166" s="104"/>
      <c r="AA166" s="104"/>
      <c r="AB166" s="104"/>
      <c r="AC166" s="108"/>
      <c r="AD166" s="109"/>
      <c r="AE166" s="109"/>
      <c r="AF166" s="109"/>
      <c r="AG166" s="109"/>
      <c r="AH166" s="110"/>
      <c r="AI166" s="110"/>
      <c r="AJ166" s="111"/>
      <c r="AK166" s="111"/>
      <c r="AL166" s="111"/>
      <c r="AM166" s="111"/>
      <c r="AN166" s="111"/>
      <c r="AO166" s="111"/>
      <c r="AP166" s="111"/>
      <c r="AQ166" t="str">
        <f t="shared" si="4"/>
        <v>Itron ---  Itron FCS</v>
      </c>
      <c r="BQ166"/>
    </row>
    <row r="167" spans="1:69" ht="15.75" customHeight="1">
      <c r="A167" s="102" t="s">
        <v>358</v>
      </c>
      <c r="B167" s="102" t="s">
        <v>386</v>
      </c>
      <c r="C167" s="102" t="s">
        <v>71</v>
      </c>
      <c r="D167" s="102"/>
      <c r="E167" s="103" t="s">
        <v>792</v>
      </c>
      <c r="F167" s="103"/>
      <c r="G167" s="103" t="s">
        <v>259</v>
      </c>
      <c r="H167" s="103"/>
      <c r="I167" s="91"/>
      <c r="J167" s="91"/>
      <c r="K167" s="91"/>
      <c r="L167" s="140" t="s">
        <v>78</v>
      </c>
      <c r="M167" s="104"/>
      <c r="N167" s="220"/>
      <c r="O167" s="220"/>
      <c r="P167" s="220"/>
      <c r="Q167" s="220"/>
      <c r="R167" s="220"/>
      <c r="S167" s="220"/>
      <c r="T167" s="220"/>
      <c r="U167" s="220"/>
      <c r="V167" s="220"/>
      <c r="W167" s="104"/>
      <c r="X167" s="104"/>
      <c r="Y167" s="104"/>
      <c r="Z167" s="104"/>
      <c r="AA167" s="104"/>
      <c r="AB167" s="104"/>
      <c r="AC167" s="108"/>
      <c r="AD167" s="109"/>
      <c r="AE167" s="109"/>
      <c r="AF167" s="109"/>
      <c r="AG167" s="109"/>
      <c r="AH167" s="110"/>
      <c r="AI167" s="110"/>
      <c r="AJ167" s="111"/>
      <c r="AK167" s="111"/>
      <c r="AL167" s="111"/>
      <c r="AM167" s="111"/>
      <c r="AN167" s="111"/>
      <c r="AO167" s="111"/>
      <c r="AP167" s="111"/>
      <c r="AQ167" t="str">
        <f t="shared" si="4"/>
        <v>Itron ---  MDM IEE</v>
      </c>
      <c r="BQ167"/>
    </row>
    <row r="168" spans="1:69" ht="15.75" customHeight="1">
      <c r="A168" s="102" t="s">
        <v>358</v>
      </c>
      <c r="B168" s="102" t="s">
        <v>388</v>
      </c>
      <c r="C168" s="102" t="s">
        <v>71</v>
      </c>
      <c r="D168" s="102"/>
      <c r="E168" s="103" t="s">
        <v>792</v>
      </c>
      <c r="F168" s="103"/>
      <c r="G168" s="103" t="s">
        <v>259</v>
      </c>
      <c r="H168" s="103"/>
      <c r="I168" s="91"/>
      <c r="J168" s="91"/>
      <c r="K168" s="91"/>
      <c r="L168" s="140" t="s">
        <v>78</v>
      </c>
      <c r="M168" s="104"/>
      <c r="N168" s="220"/>
      <c r="O168" s="220"/>
      <c r="P168" s="220"/>
      <c r="Q168" s="220"/>
      <c r="R168" s="220"/>
      <c r="S168" s="220"/>
      <c r="T168" s="220"/>
      <c r="U168" s="220"/>
      <c r="V168" s="220"/>
      <c r="W168" s="104"/>
      <c r="X168" s="104"/>
      <c r="Y168" s="104"/>
      <c r="Z168" s="104"/>
      <c r="AA168" s="104"/>
      <c r="AB168" s="104"/>
      <c r="AC168" s="108"/>
      <c r="AD168" s="109"/>
      <c r="AE168" s="109"/>
      <c r="AF168" s="109"/>
      <c r="AG168" s="109"/>
      <c r="AH168" s="110"/>
      <c r="AI168" s="110"/>
      <c r="AJ168" s="111"/>
      <c r="AK168" s="111"/>
      <c r="AL168" s="111"/>
      <c r="AM168" s="111"/>
      <c r="AN168" s="111"/>
      <c r="AO168" s="111"/>
      <c r="AP168" s="111"/>
      <c r="AQ168" t="str">
        <f t="shared" si="4"/>
        <v>Itron ---  MVLTxi</v>
      </c>
      <c r="BQ168"/>
    </row>
    <row r="169" spans="1:69" ht="15.75" customHeight="1">
      <c r="A169" s="102" t="s">
        <v>412</v>
      </c>
      <c r="B169" s="102" t="s">
        <v>413</v>
      </c>
      <c r="C169" s="102" t="s">
        <v>71</v>
      </c>
      <c r="D169" s="102"/>
      <c r="E169" s="103" t="s">
        <v>792</v>
      </c>
      <c r="F169" s="103"/>
      <c r="G169" s="103" t="s">
        <v>259</v>
      </c>
      <c r="H169" s="103"/>
      <c r="I169" s="91"/>
      <c r="J169" s="91"/>
      <c r="K169" s="91"/>
      <c r="L169" s="140" t="s">
        <v>78</v>
      </c>
      <c r="M169" s="104"/>
      <c r="N169" s="220"/>
      <c r="O169" s="220"/>
      <c r="P169" s="220"/>
      <c r="Q169" s="220"/>
      <c r="R169" s="220"/>
      <c r="S169" s="220"/>
      <c r="T169" s="220"/>
      <c r="U169" s="220"/>
      <c r="V169" s="220"/>
      <c r="W169" s="104"/>
      <c r="X169" s="104"/>
      <c r="Y169" s="104"/>
      <c r="Z169" s="104"/>
      <c r="AA169" s="104"/>
      <c r="AB169" s="104"/>
      <c r="AC169" s="108"/>
      <c r="AD169" s="109"/>
      <c r="AE169" s="109"/>
      <c r="AF169" s="109"/>
      <c r="AG169" s="109"/>
      <c r="AH169" s="110"/>
      <c r="AI169" s="110"/>
      <c r="AJ169" s="111"/>
      <c r="AK169" s="111"/>
      <c r="AL169" s="111"/>
      <c r="AM169" s="111"/>
      <c r="AN169" s="111"/>
      <c r="AO169" s="111"/>
      <c r="AP169" s="111"/>
      <c r="AQ169" t="str">
        <f t="shared" si="4"/>
        <v>Oracle ---  Oracle Analytics Publisher</v>
      </c>
      <c r="BQ169"/>
    </row>
    <row r="170" spans="1:69" ht="15.75" customHeight="1">
      <c r="A170" s="102" t="s">
        <v>412</v>
      </c>
      <c r="B170" s="102" t="s">
        <v>414</v>
      </c>
      <c r="C170" s="102" t="s">
        <v>71</v>
      </c>
      <c r="D170" s="102"/>
      <c r="E170" s="103" t="s">
        <v>792</v>
      </c>
      <c r="F170" s="103"/>
      <c r="G170" s="103" t="s">
        <v>259</v>
      </c>
      <c r="H170" s="103"/>
      <c r="I170" s="91"/>
      <c r="J170" s="91"/>
      <c r="K170" s="91"/>
      <c r="L170" s="140" t="s">
        <v>78</v>
      </c>
      <c r="M170" s="104"/>
      <c r="N170" s="220"/>
      <c r="O170" s="220"/>
      <c r="P170" s="220"/>
      <c r="Q170" s="220"/>
      <c r="R170" s="220"/>
      <c r="S170" s="220"/>
      <c r="T170" s="220"/>
      <c r="U170" s="220"/>
      <c r="V170" s="220"/>
      <c r="W170" s="104"/>
      <c r="X170" s="104"/>
      <c r="Y170" s="104"/>
      <c r="Z170" s="104"/>
      <c r="AA170" s="104"/>
      <c r="AB170" s="104"/>
      <c r="AC170" s="108"/>
      <c r="AD170" s="109"/>
      <c r="AE170" s="109"/>
      <c r="AF170" s="109"/>
      <c r="AG170" s="109"/>
      <c r="AH170" s="110"/>
      <c r="AI170" s="110"/>
      <c r="AJ170" s="111"/>
      <c r="AK170" s="111"/>
      <c r="AL170" s="111"/>
      <c r="AM170" s="111"/>
      <c r="AN170" s="111"/>
      <c r="AO170" s="111"/>
      <c r="AP170" s="111"/>
      <c r="AQ170" t="str">
        <f t="shared" si="4"/>
        <v>Oracle ---  Oracle BI Publisher</v>
      </c>
      <c r="BQ170"/>
    </row>
    <row r="171" spans="1:69" ht="15.75" customHeight="1">
      <c r="A171" s="102" t="s">
        <v>412</v>
      </c>
      <c r="B171" s="102" t="s">
        <v>511</v>
      </c>
      <c r="C171" s="102" t="s">
        <v>71</v>
      </c>
      <c r="D171" s="102"/>
      <c r="E171" s="103" t="s">
        <v>792</v>
      </c>
      <c r="F171" s="103"/>
      <c r="G171" s="103" t="s">
        <v>259</v>
      </c>
      <c r="H171" s="103"/>
      <c r="I171" s="91"/>
      <c r="J171" s="91"/>
      <c r="K171" s="91"/>
      <c r="L171" s="140" t="s">
        <v>78</v>
      </c>
      <c r="M171" s="104"/>
      <c r="N171" s="220"/>
      <c r="O171" s="220"/>
      <c r="P171" s="220"/>
      <c r="Q171" s="220"/>
      <c r="R171" s="220"/>
      <c r="S171" s="220"/>
      <c r="T171" s="220"/>
      <c r="U171" s="220"/>
      <c r="V171" s="220"/>
      <c r="W171" s="104"/>
      <c r="X171" s="104"/>
      <c r="Y171" s="104"/>
      <c r="Z171" s="104"/>
      <c r="AA171" s="104"/>
      <c r="AB171" s="104"/>
      <c r="AC171" s="108"/>
      <c r="AD171" s="109"/>
      <c r="AE171" s="109"/>
      <c r="AF171" s="109"/>
      <c r="AG171" s="109"/>
      <c r="AH171" s="110"/>
      <c r="AI171" s="110"/>
      <c r="AJ171" s="111"/>
      <c r="AK171" s="111"/>
      <c r="AL171" s="111"/>
      <c r="AM171" s="111"/>
      <c r="AN171" s="111"/>
      <c r="AO171" s="111"/>
      <c r="AP171" s="111"/>
      <c r="AQ171" t="str">
        <f t="shared" si="4"/>
        <v>Oracle ---  Unifier</v>
      </c>
      <c r="BQ171"/>
    </row>
    <row r="172" spans="1:69" ht="15.75" customHeight="1">
      <c r="A172" s="102" t="s">
        <v>348</v>
      </c>
      <c r="B172" s="102" t="s">
        <v>349</v>
      </c>
      <c r="C172" s="102" t="s">
        <v>71</v>
      </c>
      <c r="D172" s="102"/>
      <c r="E172" s="103" t="s">
        <v>792</v>
      </c>
      <c r="F172" s="103"/>
      <c r="G172" s="103" t="s">
        <v>259</v>
      </c>
      <c r="H172" s="103"/>
      <c r="I172" s="91"/>
      <c r="J172" s="91"/>
      <c r="K172" s="91"/>
      <c r="L172" s="140" t="s">
        <v>78</v>
      </c>
      <c r="M172" s="104"/>
      <c r="N172" s="220"/>
      <c r="O172" s="220"/>
      <c r="P172" s="220"/>
      <c r="Q172" s="220"/>
      <c r="R172" s="220"/>
      <c r="S172" s="220"/>
      <c r="T172" s="220"/>
      <c r="U172" s="220"/>
      <c r="V172" s="220"/>
      <c r="W172" s="104"/>
      <c r="X172" s="104"/>
      <c r="Y172" s="104"/>
      <c r="Z172" s="104"/>
      <c r="AA172" s="104"/>
      <c r="AB172" s="104"/>
      <c r="AC172" s="108"/>
      <c r="AD172" s="109"/>
      <c r="AE172" s="109"/>
      <c r="AF172" s="109"/>
      <c r="AG172" s="109"/>
      <c r="AH172" s="110"/>
      <c r="AI172" s="110"/>
      <c r="AJ172" s="111"/>
      <c r="AK172" s="111"/>
      <c r="AL172" s="111"/>
      <c r="AM172" s="111"/>
      <c r="AN172" s="111"/>
      <c r="AO172" s="111"/>
      <c r="AP172" s="111"/>
      <c r="AQ172" t="str">
        <f t="shared" si="4"/>
        <v>Trinovis ---  Impress</v>
      </c>
      <c r="BQ172"/>
    </row>
    <row r="173" spans="1:69" ht="15.75" customHeight="1">
      <c r="A173" s="102" t="s">
        <v>286</v>
      </c>
      <c r="B173" s="102" t="s">
        <v>287</v>
      </c>
      <c r="C173" s="102" t="s">
        <v>71</v>
      </c>
      <c r="D173" s="102"/>
      <c r="E173" s="103" t="s">
        <v>792</v>
      </c>
      <c r="F173" s="103"/>
      <c r="G173" s="103" t="s">
        <v>288</v>
      </c>
      <c r="H173" s="103"/>
      <c r="I173" s="91"/>
      <c r="J173" s="91"/>
      <c r="K173" s="91"/>
      <c r="L173" s="140" t="s">
        <v>78</v>
      </c>
      <c r="M173" s="104"/>
      <c r="N173" s="220"/>
      <c r="O173" s="220"/>
      <c r="P173" s="220"/>
      <c r="Q173" s="220"/>
      <c r="R173" s="220"/>
      <c r="S173" s="220"/>
      <c r="T173" s="220"/>
      <c r="U173" s="220"/>
      <c r="V173" s="220"/>
      <c r="W173" s="104"/>
      <c r="X173" s="104"/>
      <c r="Y173" s="104"/>
      <c r="Z173" s="104"/>
      <c r="AA173" s="104"/>
      <c r="AB173" s="104"/>
      <c r="AC173" s="108"/>
      <c r="AD173" s="109"/>
      <c r="AE173" s="109"/>
      <c r="AF173" s="109"/>
      <c r="AG173" s="109"/>
      <c r="AH173" s="110"/>
      <c r="AI173" s="110"/>
      <c r="AJ173" s="111"/>
      <c r="AK173" s="111"/>
      <c r="AL173" s="111"/>
      <c r="AM173" s="111"/>
      <c r="AN173" s="111"/>
      <c r="AO173" s="111"/>
      <c r="AP173" s="111"/>
      <c r="AQ173" t="str">
        <f t="shared" si="4"/>
        <v>Clevest ---  FMRS</v>
      </c>
      <c r="BQ173"/>
    </row>
    <row r="174" spans="1:69" ht="15.75" customHeight="1">
      <c r="A174" s="102" t="s">
        <v>68</v>
      </c>
      <c r="B174" s="102" t="s">
        <v>69</v>
      </c>
      <c r="C174" s="102" t="s">
        <v>71</v>
      </c>
      <c r="D174" s="102"/>
      <c r="E174" s="103" t="s">
        <v>792</v>
      </c>
      <c r="F174" s="103"/>
      <c r="G174" s="103" t="s">
        <v>72</v>
      </c>
      <c r="H174" s="103"/>
      <c r="I174" s="91"/>
      <c r="J174" s="91"/>
      <c r="K174" s="91"/>
      <c r="L174" s="140" t="s">
        <v>78</v>
      </c>
      <c r="M174" s="104"/>
      <c r="N174" s="220"/>
      <c r="O174" s="220"/>
      <c r="P174" s="220"/>
      <c r="Q174" s="220"/>
      <c r="R174" s="220"/>
      <c r="S174" s="220"/>
      <c r="T174" s="220"/>
      <c r="U174" s="220"/>
      <c r="V174" s="220"/>
      <c r="W174" s="104"/>
      <c r="X174" s="104"/>
      <c r="Y174" s="104"/>
      <c r="Z174" s="104"/>
      <c r="AA174" s="104"/>
      <c r="AB174" s="104"/>
      <c r="AC174" s="108"/>
      <c r="AD174" s="109"/>
      <c r="AE174" s="109"/>
      <c r="AF174" s="109"/>
      <c r="AG174" s="109"/>
      <c r="AH174" s="110"/>
      <c r="AI174" s="110"/>
      <c r="AJ174" s="111"/>
      <c r="AK174" s="111"/>
      <c r="AL174" s="111"/>
      <c r="AM174" s="111"/>
      <c r="AN174" s="111"/>
      <c r="AO174" s="111"/>
      <c r="AP174" s="111"/>
      <c r="AQ174" t="str">
        <f t="shared" si="4"/>
        <v>AspenTech (OSII) ---  ADMS</v>
      </c>
      <c r="BQ174"/>
    </row>
    <row r="175" spans="1:69" ht="15.75" customHeight="1">
      <c r="A175" s="102" t="s">
        <v>68</v>
      </c>
      <c r="B175" s="102" t="s">
        <v>73</v>
      </c>
      <c r="C175" s="102" t="s">
        <v>71</v>
      </c>
      <c r="D175" s="102"/>
      <c r="E175" s="103" t="s">
        <v>792</v>
      </c>
      <c r="F175" s="103"/>
      <c r="G175" s="103" t="s">
        <v>72</v>
      </c>
      <c r="H175" s="103"/>
      <c r="I175" s="91"/>
      <c r="J175" s="91"/>
      <c r="K175" s="91"/>
      <c r="L175" s="140" t="s">
        <v>78</v>
      </c>
      <c r="M175" s="104"/>
      <c r="N175" s="220"/>
      <c r="O175" s="220"/>
      <c r="P175" s="220"/>
      <c r="Q175" s="220"/>
      <c r="R175" s="220"/>
      <c r="S175" s="220"/>
      <c r="T175" s="220"/>
      <c r="U175" s="220"/>
      <c r="V175" s="220"/>
      <c r="W175" s="104"/>
      <c r="X175" s="104"/>
      <c r="Y175" s="104"/>
      <c r="Z175" s="104"/>
      <c r="AA175" s="104"/>
      <c r="AB175" s="104"/>
      <c r="AC175" s="108"/>
      <c r="AD175" s="109"/>
      <c r="AE175" s="109"/>
      <c r="AF175" s="109"/>
      <c r="AG175" s="109"/>
      <c r="AH175" s="110"/>
      <c r="AI175" s="110"/>
      <c r="AJ175" s="111"/>
      <c r="AK175" s="111"/>
      <c r="AL175" s="111"/>
      <c r="AM175" s="111"/>
      <c r="AN175" s="111"/>
      <c r="AO175" s="111"/>
      <c r="AP175" s="111"/>
      <c r="AQ175" t="str">
        <f t="shared" si="4"/>
        <v>AspenTech (OSII) ---  ADMS DMS</v>
      </c>
      <c r="BQ175"/>
    </row>
    <row r="176" spans="1:69" ht="15.75" customHeight="1">
      <c r="A176" s="102" t="s">
        <v>68</v>
      </c>
      <c r="B176" s="102" t="s">
        <v>74</v>
      </c>
      <c r="C176" s="102" t="s">
        <v>71</v>
      </c>
      <c r="D176" s="102"/>
      <c r="E176" s="103" t="s">
        <v>792</v>
      </c>
      <c r="F176" s="103"/>
      <c r="G176" s="103" t="s">
        <v>72</v>
      </c>
      <c r="H176" s="103"/>
      <c r="I176" s="91"/>
      <c r="J176" s="91"/>
      <c r="K176" s="91"/>
      <c r="L176" s="140" t="s">
        <v>78</v>
      </c>
      <c r="M176" s="104"/>
      <c r="N176" s="220"/>
      <c r="O176" s="220"/>
      <c r="P176" s="220"/>
      <c r="Q176" s="220"/>
      <c r="R176" s="220"/>
      <c r="S176" s="220"/>
      <c r="T176" s="220"/>
      <c r="U176" s="220"/>
      <c r="V176" s="220"/>
      <c r="W176" s="104"/>
      <c r="X176" s="104"/>
      <c r="Y176" s="104"/>
      <c r="Z176" s="104"/>
      <c r="AA176" s="104"/>
      <c r="AB176" s="104"/>
      <c r="AC176" s="108"/>
      <c r="AD176" s="109"/>
      <c r="AE176" s="109"/>
      <c r="AF176" s="109"/>
      <c r="AG176" s="109"/>
      <c r="AH176" s="110"/>
      <c r="AI176" s="110"/>
      <c r="AJ176" s="111"/>
      <c r="AK176" s="111"/>
      <c r="AL176" s="111"/>
      <c r="AM176" s="111"/>
      <c r="AN176" s="111"/>
      <c r="AO176" s="111"/>
      <c r="AP176" s="111"/>
      <c r="AQ176" t="str">
        <f t="shared" si="4"/>
        <v>AspenTech (OSII) ---  ADMS OMS</v>
      </c>
      <c r="BQ176"/>
    </row>
    <row r="177" spans="1:69" ht="15.75" customHeight="1">
      <c r="A177" s="102" t="s">
        <v>80</v>
      </c>
      <c r="B177" s="102" t="s">
        <v>291</v>
      </c>
      <c r="C177" s="102" t="s">
        <v>71</v>
      </c>
      <c r="D177" s="102"/>
      <c r="E177" s="103" t="s">
        <v>792</v>
      </c>
      <c r="F177" s="103"/>
      <c r="G177" s="103" t="s">
        <v>292</v>
      </c>
      <c r="H177" s="103"/>
      <c r="I177" s="91"/>
      <c r="J177" s="91"/>
      <c r="K177" s="91"/>
      <c r="L177" s="140" t="s">
        <v>78</v>
      </c>
      <c r="M177" s="104"/>
      <c r="N177" s="220"/>
      <c r="O177" s="220"/>
      <c r="P177" s="220"/>
      <c r="Q177" s="220"/>
      <c r="R177" s="220"/>
      <c r="S177" s="220"/>
      <c r="T177" s="220"/>
      <c r="U177" s="220"/>
      <c r="V177" s="220"/>
      <c r="W177" s="104"/>
      <c r="X177" s="104"/>
      <c r="Y177" s="104"/>
      <c r="Z177" s="104"/>
      <c r="AA177" s="104"/>
      <c r="AB177" s="104"/>
      <c r="AC177" s="108"/>
      <c r="AD177" s="109"/>
      <c r="AE177" s="109"/>
      <c r="AF177" s="109" t="s">
        <v>224</v>
      </c>
      <c r="AG177" s="109"/>
      <c r="AH177" s="110"/>
      <c r="AI177" s="110"/>
      <c r="AJ177" s="111"/>
      <c r="AK177" s="111"/>
      <c r="AL177" s="111"/>
      <c r="AM177" s="111"/>
      <c r="AN177" s="111"/>
      <c r="AO177" s="111"/>
      <c r="AP177" s="111"/>
      <c r="AQ177" t="str">
        <f t="shared" si="4"/>
        <v>ESRI ---  Gas GIS</v>
      </c>
      <c r="BQ177"/>
    </row>
    <row r="178" spans="1:69" ht="15.75" customHeight="1">
      <c r="A178" s="102" t="s">
        <v>80</v>
      </c>
      <c r="B178" s="102" t="s">
        <v>368</v>
      </c>
      <c r="C178" s="102" t="s">
        <v>71</v>
      </c>
      <c r="D178" s="102"/>
      <c r="E178" s="103" t="s">
        <v>792</v>
      </c>
      <c r="F178" s="103"/>
      <c r="G178" s="103" t="s">
        <v>292</v>
      </c>
      <c r="H178" s="103"/>
      <c r="I178" s="91"/>
      <c r="J178" s="91"/>
      <c r="K178" s="91"/>
      <c r="L178" s="140" t="s">
        <v>78</v>
      </c>
      <c r="M178" s="104"/>
      <c r="N178" s="220"/>
      <c r="O178" s="220"/>
      <c r="P178" s="220"/>
      <c r="Q178" s="220"/>
      <c r="R178" s="220"/>
      <c r="S178" s="220"/>
      <c r="T178" s="220"/>
      <c r="U178" s="220"/>
      <c r="V178" s="220"/>
      <c r="W178" s="104"/>
      <c r="X178" s="104"/>
      <c r="Y178" s="104"/>
      <c r="Z178" s="104"/>
      <c r="AA178" s="104"/>
      <c r="AB178" s="104"/>
      <c r="AC178" s="108"/>
      <c r="AD178" s="109"/>
      <c r="AE178" s="109"/>
      <c r="AF178" s="109"/>
      <c r="AG178" s="109"/>
      <c r="AH178" s="110"/>
      <c r="AI178" s="110"/>
      <c r="AJ178" s="111"/>
      <c r="AK178" s="111"/>
      <c r="AL178" s="111"/>
      <c r="AM178" s="111"/>
      <c r="AN178" s="111"/>
      <c r="AO178" s="111"/>
      <c r="AP178" s="111"/>
      <c r="AQ178" t="str">
        <f t="shared" si="4"/>
        <v>ESRI ---  Landbase GIS</v>
      </c>
      <c r="BQ178"/>
    </row>
    <row r="179" spans="1:69" ht="15.75" customHeight="1">
      <c r="A179" s="102" t="s">
        <v>80</v>
      </c>
      <c r="B179" s="102" t="s">
        <v>81</v>
      </c>
      <c r="C179" s="102" t="s">
        <v>71</v>
      </c>
      <c r="D179" s="102"/>
      <c r="E179" s="103" t="s">
        <v>792</v>
      </c>
      <c r="F179" s="103"/>
      <c r="G179" s="103" t="s">
        <v>82</v>
      </c>
      <c r="H179" s="103"/>
      <c r="I179" s="91"/>
      <c r="J179" s="91"/>
      <c r="K179" s="91"/>
      <c r="L179" s="140" t="s">
        <v>78</v>
      </c>
      <c r="M179" s="104"/>
      <c r="N179" s="220"/>
      <c r="O179" s="220"/>
      <c r="P179" s="220"/>
      <c r="Q179" s="220"/>
      <c r="R179" s="220"/>
      <c r="S179" s="220"/>
      <c r="T179" s="220"/>
      <c r="U179" s="220"/>
      <c r="V179" s="220"/>
      <c r="W179" s="104"/>
      <c r="X179" s="104"/>
      <c r="Y179" s="104"/>
      <c r="Z179" s="104"/>
      <c r="AA179" s="104"/>
      <c r="AB179" s="104"/>
      <c r="AC179" s="108"/>
      <c r="AD179" s="109"/>
      <c r="AE179" s="109"/>
      <c r="AF179" s="109"/>
      <c r="AG179" s="109"/>
      <c r="AH179" s="110"/>
      <c r="AI179" s="110"/>
      <c r="AJ179" s="111"/>
      <c r="AK179" s="111"/>
      <c r="AL179" s="111"/>
      <c r="AM179" s="111"/>
      <c r="AN179" s="111"/>
      <c r="AO179" s="111"/>
      <c r="AP179" s="111"/>
      <c r="AQ179" t="str">
        <f t="shared" si="4"/>
        <v>ESRI ---  ArcGIS Enterprise</v>
      </c>
      <c r="BQ179"/>
    </row>
    <row r="180" spans="1:69" ht="15.75" customHeight="1">
      <c r="A180" s="102" t="s">
        <v>80</v>
      </c>
      <c r="B180" s="102" t="s">
        <v>83</v>
      </c>
      <c r="C180" s="102" t="s">
        <v>71</v>
      </c>
      <c r="D180" s="102"/>
      <c r="E180" s="103" t="s">
        <v>792</v>
      </c>
      <c r="F180" s="103"/>
      <c r="G180" s="103" t="s">
        <v>82</v>
      </c>
      <c r="H180" s="103"/>
      <c r="I180" s="91"/>
      <c r="J180" s="91"/>
      <c r="K180" s="91"/>
      <c r="L180" s="140" t="s">
        <v>78</v>
      </c>
      <c r="M180" s="104"/>
      <c r="N180" s="220"/>
      <c r="O180" s="220"/>
      <c r="P180" s="220"/>
      <c r="Q180" s="220"/>
      <c r="R180" s="220"/>
      <c r="S180" s="220"/>
      <c r="T180" s="220"/>
      <c r="U180" s="220"/>
      <c r="V180" s="220"/>
      <c r="W180" s="104"/>
      <c r="X180" s="104"/>
      <c r="Y180" s="104"/>
      <c r="Z180" s="104"/>
      <c r="AA180" s="104"/>
      <c r="AB180" s="104"/>
      <c r="AC180" s="108"/>
      <c r="AD180" s="109"/>
      <c r="AE180" s="109"/>
      <c r="AF180" s="109"/>
      <c r="AG180" s="109"/>
      <c r="AH180" s="110"/>
      <c r="AI180" s="110"/>
      <c r="AJ180" s="111"/>
      <c r="AK180" s="111"/>
      <c r="AL180" s="111"/>
      <c r="AM180" s="111"/>
      <c r="AN180" s="111"/>
      <c r="AO180" s="111"/>
      <c r="AP180" s="111"/>
      <c r="AQ180" t="str">
        <f t="shared" si="4"/>
        <v>ESRI ---  ArcGIS Mobile</v>
      </c>
      <c r="BQ180"/>
    </row>
    <row r="181" spans="1:69" ht="15.75" customHeight="1">
      <c r="A181" s="102" t="s">
        <v>80</v>
      </c>
      <c r="B181" s="102" t="s">
        <v>84</v>
      </c>
      <c r="C181" s="102" t="s">
        <v>71</v>
      </c>
      <c r="D181" s="102"/>
      <c r="E181" s="103" t="s">
        <v>792</v>
      </c>
      <c r="F181" s="103"/>
      <c r="G181" s="103" t="s">
        <v>82</v>
      </c>
      <c r="H181" s="103"/>
      <c r="I181" s="91"/>
      <c r="J181" s="91"/>
      <c r="K181" s="91"/>
      <c r="L181" s="140" t="s">
        <v>78</v>
      </c>
      <c r="M181" s="104"/>
      <c r="N181" s="220"/>
      <c r="O181" s="220"/>
      <c r="P181" s="220"/>
      <c r="Q181" s="220"/>
      <c r="R181" s="220"/>
      <c r="S181" s="220"/>
      <c r="T181" s="220"/>
      <c r="U181" s="220"/>
      <c r="V181" s="220"/>
      <c r="W181" s="104"/>
      <c r="X181" s="104"/>
      <c r="Y181" s="104"/>
      <c r="Z181" s="104"/>
      <c r="AA181" s="104"/>
      <c r="AB181" s="104"/>
      <c r="AC181" s="108"/>
      <c r="AD181" s="109"/>
      <c r="AE181" s="109"/>
      <c r="AF181" s="109"/>
      <c r="AG181" s="109"/>
      <c r="AH181" s="110"/>
      <c r="AI181" s="110"/>
      <c r="AJ181" s="111"/>
      <c r="AK181" s="111"/>
      <c r="AL181" s="111"/>
      <c r="AM181" s="111"/>
      <c r="AN181" s="111"/>
      <c r="AO181" s="111"/>
      <c r="AP181" s="111"/>
      <c r="AQ181" t="str">
        <f t="shared" si="4"/>
        <v>ESRI ---  ArcGIS Online AGOL</v>
      </c>
      <c r="BQ181"/>
    </row>
    <row r="182" spans="1:69" ht="15.75" customHeight="1">
      <c r="A182" s="102" t="s">
        <v>127</v>
      </c>
      <c r="B182" s="102" t="s">
        <v>128</v>
      </c>
      <c r="C182" s="102" t="s">
        <v>71</v>
      </c>
      <c r="D182" s="102"/>
      <c r="E182" s="103" t="s">
        <v>792</v>
      </c>
      <c r="F182" s="103"/>
      <c r="G182" s="103" t="s">
        <v>129</v>
      </c>
      <c r="H182" s="103"/>
      <c r="I182" s="91"/>
      <c r="J182" s="91"/>
      <c r="K182" s="91"/>
      <c r="L182" s="140" t="s">
        <v>78</v>
      </c>
      <c r="M182" s="104"/>
      <c r="N182" s="220"/>
      <c r="O182" s="220"/>
      <c r="P182" s="220"/>
      <c r="Q182" s="220"/>
      <c r="R182" s="220"/>
      <c r="S182" s="220"/>
      <c r="T182" s="220"/>
      <c r="U182" s="220"/>
      <c r="V182" s="220"/>
      <c r="W182" s="104"/>
      <c r="X182" s="104"/>
      <c r="Y182" s="104"/>
      <c r="Z182" s="104"/>
      <c r="AA182" s="104"/>
      <c r="AB182" s="104"/>
      <c r="AC182" s="108"/>
      <c r="AD182" s="109"/>
      <c r="AE182" s="109"/>
      <c r="AF182" s="109"/>
      <c r="AG182" s="109"/>
      <c r="AH182" s="110"/>
      <c r="AI182" s="110"/>
      <c r="AJ182" s="111"/>
      <c r="AK182" s="111"/>
      <c r="AL182" s="111"/>
      <c r="AM182" s="111"/>
      <c r="AN182" s="111"/>
      <c r="AO182" s="111"/>
      <c r="AP182" s="111"/>
      <c r="AQ182" t="str">
        <f t="shared" si="4"/>
        <v>DNV ---  Cascade</v>
      </c>
      <c r="BQ182"/>
    </row>
    <row r="183" spans="1:69" ht="15.75" customHeight="1">
      <c r="A183" s="102" t="s">
        <v>80</v>
      </c>
      <c r="B183" s="102" t="s">
        <v>243</v>
      </c>
      <c r="C183" s="102" t="s">
        <v>71</v>
      </c>
      <c r="D183" s="102"/>
      <c r="E183" s="103" t="s">
        <v>792</v>
      </c>
      <c r="F183" s="103"/>
      <c r="G183" s="103" t="s">
        <v>244</v>
      </c>
      <c r="H183" s="103"/>
      <c r="I183" s="91"/>
      <c r="J183" s="91"/>
      <c r="K183" s="91"/>
      <c r="L183" s="140" t="s">
        <v>78</v>
      </c>
      <c r="M183" s="104"/>
      <c r="N183" s="220"/>
      <c r="O183" s="220"/>
      <c r="P183" s="220"/>
      <c r="Q183" s="220"/>
      <c r="R183" s="220"/>
      <c r="S183" s="220"/>
      <c r="T183" s="220"/>
      <c r="U183" s="220"/>
      <c r="V183" s="220"/>
      <c r="W183" s="104"/>
      <c r="X183" s="104"/>
      <c r="Y183" s="104"/>
      <c r="Z183" s="104"/>
      <c r="AA183" s="104"/>
      <c r="AB183" s="104"/>
      <c r="AC183" s="108"/>
      <c r="AD183" s="109"/>
      <c r="AE183" s="109"/>
      <c r="AF183" s="109"/>
      <c r="AG183" s="109"/>
      <c r="AH183" s="110"/>
      <c r="AI183" s="110"/>
      <c r="AJ183" s="111"/>
      <c r="AK183" s="111"/>
      <c r="AL183" s="111"/>
      <c r="AM183" s="111"/>
      <c r="AN183" s="111"/>
      <c r="AO183" s="111"/>
      <c r="AP183" s="111"/>
      <c r="AQ183" t="str">
        <f t="shared" si="4"/>
        <v>ESRI ---  Electric GIS</v>
      </c>
      <c r="BQ183"/>
    </row>
    <row r="184" spans="1:69" ht="15.75" customHeight="1">
      <c r="A184" s="102" t="s">
        <v>329</v>
      </c>
      <c r="B184" s="102" t="s">
        <v>330</v>
      </c>
      <c r="C184" s="102" t="s">
        <v>71</v>
      </c>
      <c r="D184" s="102"/>
      <c r="E184" s="103" t="s">
        <v>792</v>
      </c>
      <c r="F184" s="103"/>
      <c r="G184" s="103" t="s">
        <v>332</v>
      </c>
      <c r="H184" s="103"/>
      <c r="I184" s="91"/>
      <c r="J184" s="91"/>
      <c r="K184" s="91"/>
      <c r="L184" s="140" t="s">
        <v>78</v>
      </c>
      <c r="M184" s="104"/>
      <c r="N184" s="220"/>
      <c r="O184" s="220"/>
      <c r="P184" s="220"/>
      <c r="Q184" s="220"/>
      <c r="R184" s="220"/>
      <c r="S184" s="220"/>
      <c r="T184" s="220"/>
      <c r="U184" s="220"/>
      <c r="V184" s="220"/>
      <c r="W184" s="104"/>
      <c r="X184" s="104"/>
      <c r="Y184" s="104"/>
      <c r="Z184" s="104"/>
      <c r="AA184" s="104"/>
      <c r="AB184" s="104"/>
      <c r="AC184" s="108"/>
      <c r="AD184" s="109"/>
      <c r="AE184" s="109"/>
      <c r="AF184" s="109"/>
      <c r="AG184" s="109"/>
      <c r="AH184" s="110"/>
      <c r="AI184" s="110"/>
      <c r="AJ184" s="111"/>
      <c r="AK184" s="111"/>
      <c r="AL184" s="111"/>
      <c r="AM184" s="111"/>
      <c r="AN184" s="111"/>
      <c r="AO184" s="111"/>
      <c r="AP184" s="111"/>
      <c r="AQ184" t="str">
        <f t="shared" si="4"/>
        <v>GeoTab ---  Geotab</v>
      </c>
      <c r="BQ184"/>
    </row>
    <row r="185" spans="1:69" ht="15.75" customHeight="1">
      <c r="A185" s="102" t="s">
        <v>257</v>
      </c>
      <c r="B185" s="102" t="s">
        <v>470</v>
      </c>
      <c r="C185" s="102" t="s">
        <v>71</v>
      </c>
      <c r="D185" s="102"/>
      <c r="E185" s="103" t="s">
        <v>792</v>
      </c>
      <c r="F185" s="103"/>
      <c r="G185" s="103" t="s">
        <v>471</v>
      </c>
      <c r="H185" s="103"/>
      <c r="I185" s="91"/>
      <c r="J185" s="91"/>
      <c r="K185" s="91"/>
      <c r="L185" s="140" t="s">
        <v>78</v>
      </c>
      <c r="M185" s="104"/>
      <c r="N185" s="220"/>
      <c r="O185" s="220"/>
      <c r="P185" s="220"/>
      <c r="Q185" s="220"/>
      <c r="R185" s="220"/>
      <c r="S185" s="220"/>
      <c r="T185" s="220"/>
      <c r="U185" s="220"/>
      <c r="V185" s="220"/>
      <c r="W185" s="104"/>
      <c r="X185" s="104"/>
      <c r="Y185" s="104"/>
      <c r="Z185" s="104"/>
      <c r="AA185" s="104"/>
      <c r="AB185" s="104"/>
      <c r="AC185" s="108"/>
      <c r="AD185" s="109"/>
      <c r="AE185" s="109"/>
      <c r="AF185" s="109"/>
      <c r="AG185" s="109"/>
      <c r="AH185" s="110"/>
      <c r="AI185" s="110"/>
      <c r="AJ185" s="111"/>
      <c r="AK185" s="111"/>
      <c r="AL185" s="111"/>
      <c r="AM185" s="111"/>
      <c r="AN185" s="111"/>
      <c r="AO185" s="111"/>
      <c r="AP185" s="111"/>
      <c r="AQ185" t="str">
        <f t="shared" si="4"/>
        <v>Hitachi ---  Service Suite</v>
      </c>
      <c r="BQ185"/>
    </row>
    <row r="186" spans="1:69" ht="15.75" customHeight="1">
      <c r="A186" s="102" t="s">
        <v>512</v>
      </c>
      <c r="B186" s="102" t="s">
        <v>513</v>
      </c>
      <c r="C186" s="102" t="s">
        <v>71</v>
      </c>
      <c r="D186" s="102"/>
      <c r="E186" s="103" t="s">
        <v>792</v>
      </c>
      <c r="F186" s="103"/>
      <c r="G186" s="103" t="s">
        <v>471</v>
      </c>
      <c r="H186" s="103"/>
      <c r="I186" s="91"/>
      <c r="J186" s="91"/>
      <c r="K186" s="91"/>
      <c r="L186" s="140" t="s">
        <v>78</v>
      </c>
      <c r="M186" s="104"/>
      <c r="N186" s="220"/>
      <c r="O186" s="220"/>
      <c r="P186" s="220"/>
      <c r="Q186" s="220"/>
      <c r="R186" s="220"/>
      <c r="S186" s="220"/>
      <c r="T186" s="220"/>
      <c r="U186" s="220"/>
      <c r="V186" s="220"/>
      <c r="W186" s="104"/>
      <c r="X186" s="104"/>
      <c r="Y186" s="104"/>
      <c r="Z186" s="104"/>
      <c r="AA186" s="104"/>
      <c r="AB186" s="104"/>
      <c r="AC186" s="108"/>
      <c r="AD186" s="109"/>
      <c r="AE186" s="109"/>
      <c r="AF186" s="109"/>
      <c r="AG186" s="109"/>
      <c r="AH186" s="110"/>
      <c r="AI186" s="110"/>
      <c r="AJ186" s="111"/>
      <c r="AK186" s="111"/>
      <c r="AL186" s="111"/>
      <c r="AM186" s="111"/>
      <c r="AN186" s="111"/>
      <c r="AO186" s="111"/>
      <c r="AP186" s="111"/>
      <c r="AQ186" t="str">
        <f t="shared" si="4"/>
        <v>Irth Solutions ---  UtiliSphere</v>
      </c>
      <c r="BQ186"/>
    </row>
    <row r="187" spans="1:69" ht="15.75" customHeight="1">
      <c r="A187" s="102" t="s">
        <v>358</v>
      </c>
      <c r="B187" s="102" t="s">
        <v>410</v>
      </c>
      <c r="C187" s="102" t="s">
        <v>71</v>
      </c>
      <c r="D187" s="102"/>
      <c r="E187" s="103" t="s">
        <v>792</v>
      </c>
      <c r="F187" s="103"/>
      <c r="G187" s="103" t="s">
        <v>411</v>
      </c>
      <c r="H187" s="103"/>
      <c r="I187" s="91"/>
      <c r="J187" s="91"/>
      <c r="K187" s="91"/>
      <c r="L187" s="140" t="s">
        <v>78</v>
      </c>
      <c r="M187" s="104"/>
      <c r="N187" s="220"/>
      <c r="O187" s="220"/>
      <c r="P187" s="220"/>
      <c r="Q187" s="220"/>
      <c r="R187" s="220"/>
      <c r="S187" s="220"/>
      <c r="T187" s="220"/>
      <c r="U187" s="220"/>
      <c r="V187" s="220"/>
      <c r="W187" s="104"/>
      <c r="X187" s="104"/>
      <c r="Y187" s="104"/>
      <c r="Z187" s="104"/>
      <c r="AA187" s="104"/>
      <c r="AB187" s="104"/>
      <c r="AC187" s="108"/>
      <c r="AD187" s="109"/>
      <c r="AE187" s="109"/>
      <c r="AF187" s="109"/>
      <c r="AG187" s="109"/>
      <c r="AH187" s="110"/>
      <c r="AI187" s="110"/>
      <c r="AJ187" s="111"/>
      <c r="AK187" s="111"/>
      <c r="AL187" s="111"/>
      <c r="AM187" s="111"/>
      <c r="AN187" s="111"/>
      <c r="AO187" s="111"/>
      <c r="AP187" s="111"/>
      <c r="AQ187" t="str">
        <f t="shared" si="4"/>
        <v>Itron ---  Openway FieldPro</v>
      </c>
      <c r="BQ187"/>
    </row>
    <row r="188" spans="1:69" ht="15.75" customHeight="1">
      <c r="A188" s="102" t="s">
        <v>440</v>
      </c>
      <c r="B188" s="102" t="s">
        <v>441</v>
      </c>
      <c r="C188" s="102" t="s">
        <v>71</v>
      </c>
      <c r="D188" s="102"/>
      <c r="E188" s="103" t="s">
        <v>792</v>
      </c>
      <c r="F188" s="103"/>
      <c r="G188" s="103" t="s">
        <v>443</v>
      </c>
      <c r="H188" s="103"/>
      <c r="I188" s="91"/>
      <c r="J188" s="91"/>
      <c r="K188" s="91"/>
      <c r="L188" s="140" t="s">
        <v>78</v>
      </c>
      <c r="M188" s="104"/>
      <c r="N188" s="220"/>
      <c r="O188" s="220"/>
      <c r="P188" s="220"/>
      <c r="Q188" s="220"/>
      <c r="R188" s="220"/>
      <c r="S188" s="220"/>
      <c r="T188" s="220"/>
      <c r="U188" s="220"/>
      <c r="V188" s="220"/>
      <c r="W188" s="104"/>
      <c r="X188" s="104"/>
      <c r="Y188" s="104"/>
      <c r="Z188" s="104"/>
      <c r="AA188" s="104"/>
      <c r="AB188" s="104"/>
      <c r="AC188" s="108"/>
      <c r="AD188" s="109"/>
      <c r="AE188" s="109"/>
      <c r="AF188" s="109" t="s">
        <v>77</v>
      </c>
      <c r="AG188" s="109"/>
      <c r="AH188" s="110"/>
      <c r="AI188" s="110"/>
      <c r="AJ188" s="111"/>
      <c r="AK188" s="111"/>
      <c r="AL188" s="111"/>
      <c r="AM188" s="111"/>
      <c r="AN188" s="111"/>
      <c r="AO188" s="111"/>
      <c r="AP188" s="111"/>
      <c r="AQ188" t="str">
        <f t="shared" si="4"/>
        <v>Synergy and Megger ---  PRONTO</v>
      </c>
      <c r="BQ188"/>
    </row>
    <row r="189" spans="1:69" ht="15.75" customHeight="1">
      <c r="A189" s="102" t="s">
        <v>289</v>
      </c>
      <c r="B189" s="102" t="s">
        <v>289</v>
      </c>
      <c r="C189" s="102" t="s">
        <v>71</v>
      </c>
      <c r="D189" s="102"/>
      <c r="E189" s="103" t="s">
        <v>792</v>
      </c>
      <c r="F189" s="103"/>
      <c r="G189" s="103" t="s">
        <v>138</v>
      </c>
      <c r="H189" s="103"/>
      <c r="I189" s="91"/>
      <c r="J189" s="91"/>
      <c r="K189" s="91"/>
      <c r="L189" s="140" t="s">
        <v>78</v>
      </c>
      <c r="M189" s="104"/>
      <c r="N189" s="220"/>
      <c r="O189" s="220"/>
      <c r="P189" s="220"/>
      <c r="Q189" s="220"/>
      <c r="R189" s="220"/>
      <c r="S189" s="220"/>
      <c r="T189" s="220"/>
      <c r="U189" s="220"/>
      <c r="V189" s="220"/>
      <c r="W189" s="104"/>
      <c r="X189" s="104"/>
      <c r="Y189" s="104"/>
      <c r="Z189" s="104"/>
      <c r="AA189" s="104"/>
      <c r="AB189" s="104"/>
      <c r="AC189" s="108"/>
      <c r="AD189" s="109"/>
      <c r="AE189" s="109"/>
      <c r="AF189" s="109"/>
      <c r="AG189" s="109"/>
      <c r="AH189" s="110"/>
      <c r="AI189" s="110"/>
      <c r="AJ189" s="111"/>
      <c r="AK189" s="111"/>
      <c r="AL189" s="111"/>
      <c r="AM189" s="111"/>
      <c r="AN189" s="111"/>
      <c r="AO189" s="111"/>
      <c r="AP189" s="111"/>
      <c r="AQ189" t="str">
        <f t="shared" si="4"/>
        <v>Fuelworx ---  Fuelworx</v>
      </c>
      <c r="BQ189"/>
    </row>
    <row r="190" spans="1:69" ht="15.75" customHeight="1">
      <c r="A190" s="102" t="s">
        <v>136</v>
      </c>
      <c r="B190" s="102" t="s">
        <v>462</v>
      </c>
      <c r="C190" s="102" t="s">
        <v>71</v>
      </c>
      <c r="D190" s="102"/>
      <c r="E190" s="103" t="s">
        <v>792</v>
      </c>
      <c r="F190" s="103"/>
      <c r="G190" s="103" t="s">
        <v>138</v>
      </c>
      <c r="H190" s="103"/>
      <c r="I190" s="91"/>
      <c r="J190" s="91"/>
      <c r="K190" s="91"/>
      <c r="L190" s="140" t="s">
        <v>78</v>
      </c>
      <c r="M190" s="104"/>
      <c r="N190" s="220"/>
      <c r="O190" s="220"/>
      <c r="P190" s="220"/>
      <c r="Q190" s="220"/>
      <c r="R190" s="220"/>
      <c r="S190" s="220"/>
      <c r="T190" s="220"/>
      <c r="U190" s="220"/>
      <c r="V190" s="220"/>
      <c r="W190" s="104"/>
      <c r="X190" s="104"/>
      <c r="Y190" s="104"/>
      <c r="Z190" s="104"/>
      <c r="AA190" s="104"/>
      <c r="AB190" s="104"/>
      <c r="AC190" s="108"/>
      <c r="AD190" s="109"/>
      <c r="AE190" s="109"/>
      <c r="AF190" s="109"/>
      <c r="AG190" s="109"/>
      <c r="AH190" s="110"/>
      <c r="AI190" s="110"/>
      <c r="AJ190" s="111"/>
      <c r="AK190" s="111"/>
      <c r="AL190" s="111"/>
      <c r="AM190" s="111"/>
      <c r="AN190" s="111"/>
      <c r="AO190" s="111"/>
      <c r="AP190" s="111"/>
      <c r="AQ190" t="str">
        <f t="shared" si="4"/>
        <v>Korasoft ---  SAP RE-FX Facilities Space Management (KORASOFT)</v>
      </c>
      <c r="BQ190"/>
    </row>
    <row r="191" spans="1:69" ht="15.75" customHeight="1">
      <c r="A191" s="102" t="s">
        <v>271</v>
      </c>
      <c r="B191" s="102" t="s">
        <v>271</v>
      </c>
      <c r="C191" s="102" t="s">
        <v>50</v>
      </c>
      <c r="D191" s="102"/>
      <c r="E191" s="103" t="s">
        <v>771</v>
      </c>
      <c r="F191" s="103"/>
      <c r="G191" s="103" t="s">
        <v>795</v>
      </c>
      <c r="H191" s="181" t="s">
        <v>796</v>
      </c>
      <c r="I191" s="85" t="s">
        <v>618</v>
      </c>
      <c r="J191" s="85"/>
      <c r="K191" s="85"/>
      <c r="L191" s="140" t="s">
        <v>39</v>
      </c>
      <c r="M191" s="104"/>
      <c r="N191" s="220"/>
      <c r="O191" s="220"/>
      <c r="P191" s="220"/>
      <c r="Q191" s="220"/>
      <c r="R191" s="220"/>
      <c r="S191" s="220"/>
      <c r="T191" s="220"/>
      <c r="U191" s="220"/>
      <c r="V191" s="223" t="s">
        <v>797</v>
      </c>
      <c r="W191" s="127"/>
      <c r="X191" s="121" t="s">
        <v>798</v>
      </c>
      <c r="Y191" s="122" t="s">
        <v>799</v>
      </c>
      <c r="Z191" s="107">
        <v>46157</v>
      </c>
      <c r="AA191" s="104" t="s">
        <v>753</v>
      </c>
      <c r="AB191" s="104" t="s">
        <v>39</v>
      </c>
      <c r="AC191" s="108"/>
      <c r="AD191" s="109"/>
      <c r="AE191" s="109"/>
      <c r="AF191" s="109" t="s">
        <v>668</v>
      </c>
      <c r="AG191" s="109"/>
      <c r="AH191" s="110"/>
      <c r="AI191" s="110"/>
      <c r="AJ191" s="111"/>
      <c r="AK191" s="111"/>
      <c r="AL191" s="111"/>
      <c r="AM191" s="111"/>
      <c r="AN191" s="111"/>
      <c r="AO191" s="111"/>
      <c r="AP191" s="111"/>
      <c r="AQ191" t="str">
        <f t="shared" si="4"/>
        <v>Fidelity ---  Fidelity</v>
      </c>
      <c r="BQ191"/>
    </row>
    <row r="192" spans="1:69" ht="15.75" customHeight="1">
      <c r="A192" s="102" t="s">
        <v>800</v>
      </c>
      <c r="B192" s="102" t="s">
        <v>801</v>
      </c>
      <c r="C192" s="102" t="s">
        <v>71</v>
      </c>
      <c r="D192" s="102"/>
      <c r="E192" s="103" t="s">
        <v>802</v>
      </c>
      <c r="F192" s="103"/>
      <c r="G192" s="112"/>
      <c r="H192" s="182" t="s">
        <v>803</v>
      </c>
      <c r="I192" s="92"/>
      <c r="J192" s="92"/>
      <c r="K192" s="92"/>
      <c r="L192" s="219"/>
      <c r="M192" s="113"/>
      <c r="N192" s="228"/>
      <c r="O192" s="228"/>
      <c r="P192" s="228"/>
      <c r="Q192" s="228"/>
      <c r="R192" s="228"/>
      <c r="S192" s="228"/>
      <c r="T192" s="228"/>
      <c r="U192" s="228"/>
      <c r="V192" s="225"/>
      <c r="W192" s="114"/>
      <c r="X192" s="114"/>
      <c r="Y192" s="113"/>
      <c r="Z192" s="113"/>
      <c r="AA192" s="113"/>
      <c r="AB192" s="113"/>
      <c r="AC192" s="109"/>
      <c r="AD192" s="109"/>
      <c r="AE192" s="109"/>
      <c r="AF192" s="109"/>
      <c r="AG192" s="109"/>
      <c r="AH192" s="134"/>
      <c r="AI192" s="134"/>
      <c r="AJ192" s="111"/>
      <c r="AK192" s="111"/>
      <c r="AL192" s="111"/>
      <c r="AM192" s="111"/>
      <c r="AN192" s="111"/>
      <c r="AO192" s="111"/>
      <c r="AP192" s="111"/>
      <c r="AQ192" t="str">
        <f t="shared" si="4"/>
        <v>CE ---  Email Remediation interfaces Integration</v>
      </c>
      <c r="BQ192"/>
    </row>
    <row r="193" spans="1:69" ht="15.75" customHeight="1">
      <c r="A193" s="102" t="s">
        <v>800</v>
      </c>
      <c r="B193" s="102" t="s">
        <v>804</v>
      </c>
      <c r="C193" s="102" t="s">
        <v>71</v>
      </c>
      <c r="D193" s="102"/>
      <c r="E193" s="103" t="s">
        <v>802</v>
      </c>
      <c r="F193" s="103"/>
      <c r="G193" s="112"/>
      <c r="H193" s="183" t="s">
        <v>805</v>
      </c>
      <c r="I193" s="92"/>
      <c r="J193" s="92"/>
      <c r="K193" s="92"/>
      <c r="L193" s="219"/>
      <c r="M193" s="113"/>
      <c r="N193" s="228"/>
      <c r="O193" s="228"/>
      <c r="P193" s="228"/>
      <c r="Q193" s="228"/>
      <c r="R193" s="228"/>
      <c r="S193" s="228"/>
      <c r="T193" s="228"/>
      <c r="U193" s="228"/>
      <c r="V193" s="225"/>
      <c r="W193" s="114"/>
      <c r="X193" s="114"/>
      <c r="Y193" s="113"/>
      <c r="Z193" s="113"/>
      <c r="AA193" s="113"/>
      <c r="AB193" s="113"/>
      <c r="AC193" s="109"/>
      <c r="AD193" s="109"/>
      <c r="AE193" s="109"/>
      <c r="AF193" s="109"/>
      <c r="AG193" s="109"/>
      <c r="AH193" s="134"/>
      <c r="AI193" s="134"/>
      <c r="AJ193" s="111"/>
      <c r="AK193" s="111"/>
      <c r="AL193" s="111"/>
      <c r="AM193" s="111"/>
      <c r="AN193" s="111"/>
      <c r="AO193" s="111"/>
      <c r="AP193" s="111"/>
      <c r="AQ193" t="str">
        <f t="shared" si="4"/>
        <v>CE ---  Guide to Our Svcs &amp; Buried Line inserts Integration</v>
      </c>
      <c r="BQ193"/>
    </row>
    <row r="194" spans="1:69" ht="15.75" customHeight="1">
      <c r="A194" s="102" t="s">
        <v>800</v>
      </c>
      <c r="B194" s="102" t="s">
        <v>806</v>
      </c>
      <c r="C194" s="102" t="s">
        <v>71</v>
      </c>
      <c r="D194" s="102"/>
      <c r="E194" s="103" t="s">
        <v>802</v>
      </c>
      <c r="F194" s="103"/>
      <c r="G194" s="112"/>
      <c r="H194" s="112"/>
      <c r="I194" s="92"/>
      <c r="J194" s="92"/>
      <c r="K194" s="92"/>
      <c r="L194" s="219"/>
      <c r="M194" s="113"/>
      <c r="N194" s="228"/>
      <c r="O194" s="228"/>
      <c r="P194" s="228"/>
      <c r="Q194" s="228"/>
      <c r="R194" s="228"/>
      <c r="S194" s="228"/>
      <c r="T194" s="228"/>
      <c r="U194" s="228"/>
      <c r="V194" s="225"/>
      <c r="W194" s="114"/>
      <c r="X194" s="114"/>
      <c r="Y194" s="113"/>
      <c r="Z194" s="113"/>
      <c r="AA194" s="113"/>
      <c r="AB194" s="113"/>
      <c r="AC194" s="109"/>
      <c r="AD194" s="109"/>
      <c r="AE194" s="109"/>
      <c r="AF194" s="109"/>
      <c r="AG194" s="109"/>
      <c r="AH194" s="134"/>
      <c r="AI194" s="134"/>
      <c r="AJ194" s="111"/>
      <c r="AK194" s="111"/>
      <c r="AL194" s="111"/>
      <c r="AM194" s="111"/>
      <c r="AN194" s="111"/>
      <c r="AO194" s="111"/>
      <c r="AP194" s="111"/>
      <c r="AQ194" t="str">
        <f t="shared" ref="AQ194:AQ218" si="5">_xlfn.CONCAT(A194," ---  ",B194)</f>
        <v>CE ---  IWP?</v>
      </c>
      <c r="BQ194"/>
    </row>
    <row r="195" spans="1:69" ht="15.75" customHeight="1">
      <c r="A195" s="102" t="s">
        <v>800</v>
      </c>
      <c r="B195" s="102" t="s">
        <v>807</v>
      </c>
      <c r="C195" s="102" t="s">
        <v>71</v>
      </c>
      <c r="D195" s="102"/>
      <c r="E195" s="103" t="s">
        <v>802</v>
      </c>
      <c r="F195" s="103"/>
      <c r="G195" s="112"/>
      <c r="H195" s="112"/>
      <c r="I195" s="92"/>
      <c r="J195" s="92"/>
      <c r="K195" s="92"/>
      <c r="L195" s="219"/>
      <c r="M195" s="113"/>
      <c r="N195" s="228"/>
      <c r="O195" s="228"/>
      <c r="P195" s="228"/>
      <c r="Q195" s="228"/>
      <c r="R195" s="228"/>
      <c r="S195" s="228"/>
      <c r="T195" s="228"/>
      <c r="U195" s="228"/>
      <c r="V195" s="225"/>
      <c r="W195" s="114"/>
      <c r="X195" s="114"/>
      <c r="Y195" s="113"/>
      <c r="Z195" s="113"/>
      <c r="AA195" s="113"/>
      <c r="AB195" s="113"/>
      <c r="AC195" s="109"/>
      <c r="AD195" s="109"/>
      <c r="AE195" s="109"/>
      <c r="AF195" s="109"/>
      <c r="AG195" s="109"/>
      <c r="AH195" s="134"/>
      <c r="AI195" s="134"/>
      <c r="AJ195" s="111"/>
      <c r="AK195" s="111"/>
      <c r="AL195" s="111"/>
      <c r="AM195" s="111"/>
      <c r="AN195" s="111"/>
      <c r="AO195" s="111"/>
      <c r="AP195" s="111"/>
      <c r="AQ195" t="str">
        <f t="shared" si="5"/>
        <v>CE ---  Customer Survey Quality Assurance (SQM) Integration</v>
      </c>
      <c r="BQ195"/>
    </row>
    <row r="196" spans="1:69" ht="15.75" customHeight="1">
      <c r="A196" s="102" t="s">
        <v>800</v>
      </c>
      <c r="B196" s="102" t="s">
        <v>808</v>
      </c>
      <c r="C196" s="102" t="s">
        <v>809</v>
      </c>
      <c r="D196" s="102"/>
      <c r="E196" s="103" t="s">
        <v>527</v>
      </c>
      <c r="F196" s="103"/>
      <c r="G196" s="112"/>
      <c r="H196" s="112"/>
      <c r="I196" s="92"/>
      <c r="J196" s="92"/>
      <c r="K196" s="92"/>
      <c r="L196" s="219"/>
      <c r="M196" s="113"/>
      <c r="N196" s="228"/>
      <c r="O196" s="228"/>
      <c r="P196" s="228"/>
      <c r="Q196" s="228"/>
      <c r="R196" s="228"/>
      <c r="S196" s="228"/>
      <c r="T196" s="228"/>
      <c r="U196" s="228"/>
      <c r="V196" s="225"/>
      <c r="W196" s="114"/>
      <c r="X196" s="114"/>
      <c r="Y196" s="113"/>
      <c r="Z196" s="113"/>
      <c r="AA196" s="113"/>
      <c r="AB196" s="113"/>
      <c r="AC196" s="109"/>
      <c r="AD196" s="109"/>
      <c r="AE196" s="109"/>
      <c r="AF196" s="109"/>
      <c r="AG196" s="109"/>
      <c r="AH196" s="134"/>
      <c r="AI196" s="134"/>
      <c r="AJ196" s="111"/>
      <c r="AK196" s="111"/>
      <c r="AL196" s="111"/>
      <c r="AM196" s="111"/>
      <c r="AN196" s="111"/>
      <c r="AO196" s="111"/>
      <c r="AP196" s="111"/>
      <c r="AQ196" t="str">
        <f t="shared" si="5"/>
        <v>CE ---  Landlord Portal LLP</v>
      </c>
      <c r="BQ196"/>
    </row>
    <row r="197" spans="1:69" ht="15.75" customHeight="1">
      <c r="A197" s="102" t="s">
        <v>800</v>
      </c>
      <c r="B197" s="102" t="s">
        <v>810</v>
      </c>
      <c r="C197" s="102" t="s">
        <v>811</v>
      </c>
      <c r="D197" s="102"/>
      <c r="E197" s="103" t="s">
        <v>527</v>
      </c>
      <c r="F197" s="103"/>
      <c r="G197" s="112"/>
      <c r="H197" s="112"/>
      <c r="I197" s="92"/>
      <c r="J197" s="92"/>
      <c r="K197" s="92"/>
      <c r="L197" s="219"/>
      <c r="M197" s="113"/>
      <c r="N197" s="228"/>
      <c r="O197" s="228"/>
      <c r="P197" s="228"/>
      <c r="Q197" s="228"/>
      <c r="R197" s="228"/>
      <c r="S197" s="228"/>
      <c r="T197" s="228"/>
      <c r="U197" s="228"/>
      <c r="V197" s="225"/>
      <c r="W197" s="114"/>
      <c r="X197" s="114"/>
      <c r="Y197" s="113"/>
      <c r="Z197" s="113"/>
      <c r="AA197" s="113"/>
      <c r="AB197" s="113"/>
      <c r="AC197" s="109"/>
      <c r="AD197" s="109"/>
      <c r="AE197" s="109"/>
      <c r="AF197" s="109"/>
      <c r="AG197" s="109"/>
      <c r="AH197" s="134"/>
      <c r="AI197" s="134"/>
      <c r="AJ197" s="111"/>
      <c r="AK197" s="111"/>
      <c r="AL197" s="111"/>
      <c r="AM197" s="111"/>
      <c r="AN197" s="111"/>
      <c r="AO197" s="111"/>
      <c r="AP197" s="111"/>
      <c r="AQ197" t="str">
        <f t="shared" si="5"/>
        <v>CE ---  CRM7 (needed for Release 1)</v>
      </c>
      <c r="BQ197"/>
    </row>
    <row r="198" spans="1:69" ht="15.75" customHeight="1">
      <c r="A198" s="102" t="s">
        <v>800</v>
      </c>
      <c r="B198" s="102" t="s">
        <v>812</v>
      </c>
      <c r="C198" s="102" t="s">
        <v>813</v>
      </c>
      <c r="D198" s="102"/>
      <c r="E198" s="103" t="s">
        <v>527</v>
      </c>
      <c r="F198" s="103"/>
      <c r="G198" s="112"/>
      <c r="H198" s="112"/>
      <c r="I198" s="92"/>
      <c r="J198" s="92"/>
      <c r="K198" s="92"/>
      <c r="L198" s="219"/>
      <c r="M198" s="113"/>
      <c r="N198" s="228"/>
      <c r="O198" s="228"/>
      <c r="P198" s="228"/>
      <c r="Q198" s="228"/>
      <c r="R198" s="228"/>
      <c r="S198" s="228"/>
      <c r="T198" s="228"/>
      <c r="U198" s="228"/>
      <c r="V198" s="225"/>
      <c r="W198" s="114"/>
      <c r="X198" s="114"/>
      <c r="Y198" s="113"/>
      <c r="Z198" s="113"/>
      <c r="AA198" s="113"/>
      <c r="AB198" s="113"/>
      <c r="AC198" s="109"/>
      <c r="AD198" s="109"/>
      <c r="AE198" s="109"/>
      <c r="AF198" s="109"/>
      <c r="AG198" s="109"/>
      <c r="AH198" s="134"/>
      <c r="AI198" s="134"/>
      <c r="AJ198" s="111"/>
      <c r="AK198" s="111"/>
      <c r="AL198" s="111"/>
      <c r="AM198" s="111"/>
      <c r="AN198" s="111"/>
      <c r="AO198" s="111"/>
      <c r="AP198" s="111"/>
      <c r="AQ198" t="str">
        <f t="shared" si="5"/>
        <v>CE ---  Agricultural Services Database (OWNED BY WAM) Integration (WAM application)</v>
      </c>
      <c r="BQ198"/>
    </row>
    <row r="199" spans="1:69" ht="15.75" customHeight="1">
      <c r="A199" s="102" t="s">
        <v>800</v>
      </c>
      <c r="B199" s="102" t="s">
        <v>814</v>
      </c>
      <c r="C199" s="102" t="s">
        <v>815</v>
      </c>
      <c r="D199" s="102"/>
      <c r="E199" s="103" t="s">
        <v>527</v>
      </c>
      <c r="F199" s="103"/>
      <c r="G199" s="112"/>
      <c r="H199" s="112"/>
      <c r="I199" s="92"/>
      <c r="J199" s="92"/>
      <c r="K199" s="92"/>
      <c r="L199" s="219"/>
      <c r="M199" s="113"/>
      <c r="N199" s="228"/>
      <c r="O199" s="228"/>
      <c r="P199" s="228"/>
      <c r="Q199" s="228"/>
      <c r="R199" s="228"/>
      <c r="S199" s="228"/>
      <c r="T199" s="228"/>
      <c r="U199" s="228"/>
      <c r="V199" s="225"/>
      <c r="W199" s="114"/>
      <c r="X199" s="114"/>
      <c r="Y199" s="113"/>
      <c r="Z199" s="113"/>
      <c r="AA199" s="113"/>
      <c r="AB199" s="113"/>
      <c r="AC199" s="109"/>
      <c r="AD199" s="115" t="s">
        <v>816</v>
      </c>
      <c r="AE199" s="109"/>
      <c r="AF199" s="109"/>
      <c r="AG199" s="109"/>
      <c r="AH199" s="134"/>
      <c r="AI199" s="134"/>
      <c r="AJ199" s="111"/>
      <c r="AK199" s="111"/>
      <c r="AL199" s="111"/>
      <c r="AM199" s="111"/>
      <c r="AN199" s="111"/>
      <c r="AO199" s="111"/>
      <c r="AP199" s="111"/>
      <c r="AQ199" t="str">
        <f t="shared" si="5"/>
        <v>CE ---  Consumers Web Site/Sitecore ce.com</v>
      </c>
      <c r="BQ199"/>
    </row>
    <row r="200" spans="1:69" ht="15.75" customHeight="1">
      <c r="A200" s="102" t="s">
        <v>800</v>
      </c>
      <c r="B200" s="102" t="s">
        <v>817</v>
      </c>
      <c r="C200" s="102" t="s">
        <v>813</v>
      </c>
      <c r="D200" s="102"/>
      <c r="E200" s="103" t="s">
        <v>527</v>
      </c>
      <c r="F200" s="103"/>
      <c r="G200" s="112"/>
      <c r="H200" s="112"/>
      <c r="I200" s="92"/>
      <c r="J200" s="92"/>
      <c r="K200" s="92"/>
      <c r="L200" s="219"/>
      <c r="M200" s="113"/>
      <c r="N200" s="228"/>
      <c r="O200" s="228"/>
      <c r="P200" s="228"/>
      <c r="Q200" s="228"/>
      <c r="R200" s="228"/>
      <c r="S200" s="228"/>
      <c r="T200" s="228"/>
      <c r="U200" s="228"/>
      <c r="V200" s="225"/>
      <c r="W200" s="114"/>
      <c r="X200" s="114"/>
      <c r="Y200" s="113"/>
      <c r="Z200" s="113"/>
      <c r="AA200" s="113"/>
      <c r="AB200" s="113"/>
      <c r="AC200" s="109"/>
      <c r="AD200" s="109"/>
      <c r="AE200" s="109"/>
      <c r="AF200" s="109"/>
      <c r="AG200" s="109"/>
      <c r="AH200" s="134"/>
      <c r="AI200" s="134"/>
      <c r="AJ200" s="111"/>
      <c r="AK200" s="111"/>
      <c r="AL200" s="111"/>
      <c r="AM200" s="111"/>
      <c r="AN200" s="111"/>
      <c r="AO200" s="111"/>
      <c r="AP200" s="111"/>
      <c r="AQ200" t="str">
        <f t="shared" si="5"/>
        <v>CE ---  Streetlight Outage Application SOAR</v>
      </c>
      <c r="BQ200"/>
    </row>
    <row r="201" spans="1:69" ht="15.75" customHeight="1">
      <c r="A201" s="102" t="s">
        <v>800</v>
      </c>
      <c r="B201" s="102" t="s">
        <v>818</v>
      </c>
      <c r="C201" s="102" t="s">
        <v>815</v>
      </c>
      <c r="D201" s="102"/>
      <c r="E201" s="103" t="s">
        <v>527</v>
      </c>
      <c r="F201" s="103"/>
      <c r="G201" s="112"/>
      <c r="H201" s="112"/>
      <c r="I201" s="92"/>
      <c r="J201" s="92"/>
      <c r="K201" s="92"/>
      <c r="L201" s="219"/>
      <c r="M201" s="113"/>
      <c r="N201" s="228"/>
      <c r="O201" s="228"/>
      <c r="P201" s="228"/>
      <c r="Q201" s="228"/>
      <c r="R201" s="228"/>
      <c r="S201" s="228"/>
      <c r="T201" s="228"/>
      <c r="U201" s="228"/>
      <c r="V201" s="225"/>
      <c r="W201" s="114"/>
      <c r="X201" s="114"/>
      <c r="Y201" s="113"/>
      <c r="Z201" s="113"/>
      <c r="AA201" s="113"/>
      <c r="AB201" s="113"/>
      <c r="AC201" s="109"/>
      <c r="AD201" s="109" t="s">
        <v>819</v>
      </c>
      <c r="AE201" s="109" t="s">
        <v>820</v>
      </c>
      <c r="AF201" s="109" t="s">
        <v>821</v>
      </c>
      <c r="AG201" s="109"/>
      <c r="AH201" s="134"/>
      <c r="AI201" s="134"/>
      <c r="AJ201" s="111"/>
      <c r="AK201" s="111"/>
      <c r="AL201" s="111"/>
      <c r="AM201" s="111"/>
      <c r="AN201" s="111"/>
      <c r="AO201" s="111"/>
      <c r="AP201" s="111"/>
      <c r="AQ201" t="str">
        <f t="shared" si="5"/>
        <v>CE ---  C&amp;I DR NOC Reporting DRMS</v>
      </c>
      <c r="BQ201"/>
    </row>
    <row r="202" spans="1:69" ht="15.75" customHeight="1">
      <c r="A202" s="102" t="s">
        <v>800</v>
      </c>
      <c r="B202" s="102" t="s">
        <v>822</v>
      </c>
      <c r="C202" s="102" t="s">
        <v>815</v>
      </c>
      <c r="D202" s="102"/>
      <c r="E202" s="103" t="s">
        <v>527</v>
      </c>
      <c r="F202" s="103"/>
      <c r="G202" s="112"/>
      <c r="H202" s="112"/>
      <c r="I202" s="92"/>
      <c r="J202" s="92"/>
      <c r="K202" s="92"/>
      <c r="L202" s="219"/>
      <c r="M202" s="113"/>
      <c r="N202" s="228"/>
      <c r="O202" s="228"/>
      <c r="P202" s="228"/>
      <c r="Q202" s="228"/>
      <c r="R202" s="228"/>
      <c r="S202" s="228"/>
      <c r="T202" s="228"/>
      <c r="U202" s="228"/>
      <c r="V202" s="225"/>
      <c r="W202" s="114"/>
      <c r="X202" s="114"/>
      <c r="Y202" s="113"/>
      <c r="Z202" s="113"/>
      <c r="AA202" s="113"/>
      <c r="AB202" s="113"/>
      <c r="AC202" s="109"/>
      <c r="AD202" s="115" t="s">
        <v>616</v>
      </c>
      <c r="AE202" s="115" t="s">
        <v>44</v>
      </c>
      <c r="AF202" s="115" t="s">
        <v>44</v>
      </c>
      <c r="AG202" s="109"/>
      <c r="AH202" s="134"/>
      <c r="AI202" s="134"/>
      <c r="AJ202" s="111"/>
      <c r="AK202" s="111"/>
      <c r="AL202" s="111"/>
      <c r="AM202" s="111"/>
      <c r="AN202" s="111"/>
      <c r="AO202" s="111"/>
      <c r="AP202" s="111"/>
      <c r="AQ202" t="str">
        <f t="shared" si="5"/>
        <v>CE ---  SEEload-DRMS software</v>
      </c>
      <c r="BQ202"/>
    </row>
    <row r="203" spans="1:69" ht="15.75" customHeight="1">
      <c r="A203" s="102" t="s">
        <v>800</v>
      </c>
      <c r="B203" s="102" t="s">
        <v>823</v>
      </c>
      <c r="C203" s="102" t="s">
        <v>815</v>
      </c>
      <c r="D203" s="102"/>
      <c r="E203" s="103" t="s">
        <v>527</v>
      </c>
      <c r="F203" s="103"/>
      <c r="G203" s="112"/>
      <c r="H203" s="112"/>
      <c r="I203" s="92"/>
      <c r="J203" s="92"/>
      <c r="K203" s="92"/>
      <c r="L203" s="219"/>
      <c r="M203" s="113"/>
      <c r="N203" s="228"/>
      <c r="O203" s="228"/>
      <c r="P203" s="228"/>
      <c r="Q203" s="228"/>
      <c r="R203" s="228"/>
      <c r="S203" s="228"/>
      <c r="T203" s="228"/>
      <c r="U203" s="228"/>
      <c r="V203" s="225"/>
      <c r="W203" s="114"/>
      <c r="X203" s="114"/>
      <c r="Y203" s="113"/>
      <c r="Z203" s="113"/>
      <c r="AA203" s="113"/>
      <c r="AB203" s="113"/>
      <c r="AC203" s="109"/>
      <c r="AD203" s="109" t="s">
        <v>616</v>
      </c>
      <c r="AE203" s="109"/>
      <c r="AF203" s="109"/>
      <c r="AG203" s="109"/>
      <c r="AH203" s="134"/>
      <c r="AI203" s="134"/>
      <c r="AJ203" s="111"/>
      <c r="AK203" s="111"/>
      <c r="AL203" s="111"/>
      <c r="AM203" s="111"/>
      <c r="AN203" s="111"/>
      <c r="AO203" s="111"/>
      <c r="AP203" s="111"/>
      <c r="AQ203" t="str">
        <f t="shared" si="5"/>
        <v>CE ---  EE Rebate (to/from ICF or Nucleus) Integration</v>
      </c>
      <c r="BQ203"/>
    </row>
    <row r="204" spans="1:69" ht="15.75" customHeight="1">
      <c r="A204" s="102" t="s">
        <v>800</v>
      </c>
      <c r="B204" s="102" t="s">
        <v>824</v>
      </c>
      <c r="C204" s="102" t="s">
        <v>825</v>
      </c>
      <c r="D204" s="102"/>
      <c r="E204" s="103" t="s">
        <v>527</v>
      </c>
      <c r="F204" s="103"/>
      <c r="G204" s="112"/>
      <c r="H204" s="112"/>
      <c r="I204" s="92"/>
      <c r="J204" s="92"/>
      <c r="K204" s="92"/>
      <c r="L204" s="219"/>
      <c r="M204" s="113"/>
      <c r="N204" s="228"/>
      <c r="O204" s="228"/>
      <c r="P204" s="228"/>
      <c r="Q204" s="228"/>
      <c r="R204" s="228"/>
      <c r="S204" s="228"/>
      <c r="T204" s="228"/>
      <c r="U204" s="228"/>
      <c r="V204" s="225"/>
      <c r="W204" s="114"/>
      <c r="X204" s="114"/>
      <c r="Y204" s="113"/>
      <c r="Z204" s="113"/>
      <c r="AA204" s="113"/>
      <c r="AB204" s="113"/>
      <c r="AC204" s="109"/>
      <c r="AD204" s="115" t="s">
        <v>826</v>
      </c>
      <c r="AE204" s="115" t="s">
        <v>827</v>
      </c>
      <c r="AF204" s="115" t="s">
        <v>476</v>
      </c>
      <c r="AG204" s="109"/>
      <c r="AH204" s="134"/>
      <c r="AI204" s="134"/>
      <c r="AJ204" s="111"/>
      <c r="AK204" s="111"/>
      <c r="AL204" s="111"/>
      <c r="AM204" s="111"/>
      <c r="AN204" s="111"/>
      <c r="AO204" s="111"/>
      <c r="AP204" s="111"/>
      <c r="AQ204" t="str">
        <f t="shared" si="5"/>
        <v>CE ---  Theft Analytics/Theft Workbench</v>
      </c>
      <c r="BQ204"/>
    </row>
    <row r="205" spans="1:69" ht="15.75" customHeight="1">
      <c r="A205" s="102" t="s">
        <v>800</v>
      </c>
      <c r="B205" s="102" t="s">
        <v>828</v>
      </c>
      <c r="C205" s="102" t="s">
        <v>813</v>
      </c>
      <c r="D205" s="102"/>
      <c r="E205" s="103" t="s">
        <v>527</v>
      </c>
      <c r="F205" s="103"/>
      <c r="G205" s="112"/>
      <c r="H205" s="112"/>
      <c r="I205" s="92"/>
      <c r="J205" s="92"/>
      <c r="K205" s="92"/>
      <c r="L205" s="219"/>
      <c r="M205" s="113"/>
      <c r="N205" s="228"/>
      <c r="O205" s="228"/>
      <c r="P205" s="228"/>
      <c r="Q205" s="228"/>
      <c r="R205" s="228"/>
      <c r="S205" s="228"/>
      <c r="T205" s="228"/>
      <c r="U205" s="228"/>
      <c r="V205" s="225"/>
      <c r="W205" s="114"/>
      <c r="X205" s="114"/>
      <c r="Y205" s="113"/>
      <c r="Z205" s="113"/>
      <c r="AA205" s="113"/>
      <c r="AB205" s="113"/>
      <c r="AC205" s="109"/>
      <c r="AD205" s="115" t="s">
        <v>829</v>
      </c>
      <c r="AE205" s="115" t="s">
        <v>830</v>
      </c>
      <c r="AF205" s="115" t="s">
        <v>476</v>
      </c>
      <c r="AG205" s="109"/>
      <c r="AH205" s="134"/>
      <c r="AI205" s="134"/>
      <c r="AJ205" s="111"/>
      <c r="AK205" s="111"/>
      <c r="AL205" s="111"/>
      <c r="AM205" s="111"/>
      <c r="AN205" s="111"/>
      <c r="AO205" s="111"/>
      <c r="AP205" s="111"/>
      <c r="AQ205" t="str">
        <f t="shared" si="5"/>
        <v>CE ---  DPO Bill Stub Scanner Integration</v>
      </c>
      <c r="BQ205"/>
    </row>
    <row r="206" spans="1:69" ht="15.75" customHeight="1">
      <c r="A206" s="102" t="s">
        <v>800</v>
      </c>
      <c r="B206" s="102" t="s">
        <v>831</v>
      </c>
      <c r="C206" s="102" t="s">
        <v>825</v>
      </c>
      <c r="D206" s="102"/>
      <c r="E206" s="103" t="s">
        <v>527</v>
      </c>
      <c r="F206" s="103"/>
      <c r="G206" s="112"/>
      <c r="H206" s="112"/>
      <c r="I206" s="92"/>
      <c r="J206" s="92"/>
      <c r="K206" s="92"/>
      <c r="L206" s="219"/>
      <c r="M206" s="113"/>
      <c r="N206" s="228"/>
      <c r="O206" s="228"/>
      <c r="P206" s="228"/>
      <c r="Q206" s="228"/>
      <c r="R206" s="228"/>
      <c r="S206" s="228"/>
      <c r="T206" s="228"/>
      <c r="U206" s="228"/>
      <c r="V206" s="225"/>
      <c r="W206" s="114"/>
      <c r="X206" s="114"/>
      <c r="Y206" s="113"/>
      <c r="Z206" s="113"/>
      <c r="AA206" s="113"/>
      <c r="AB206" s="113"/>
      <c r="AC206" s="109"/>
      <c r="AD206" s="115" t="s">
        <v>829</v>
      </c>
      <c r="AE206" s="115" t="s">
        <v>830</v>
      </c>
      <c r="AF206" s="115" t="s">
        <v>476</v>
      </c>
      <c r="AG206" s="109"/>
      <c r="AH206" s="134"/>
      <c r="AI206" s="134"/>
      <c r="AJ206" s="111"/>
      <c r="AK206" s="111"/>
      <c r="AL206" s="111"/>
      <c r="AM206" s="111"/>
      <c r="AN206" s="111"/>
      <c r="AO206" s="111"/>
      <c r="AP206" s="111"/>
      <c r="AQ206" t="str">
        <f t="shared" si="5"/>
        <v>CE ---  DPO Receipt Printer Integration</v>
      </c>
      <c r="BQ206"/>
    </row>
    <row r="207" spans="1:69" ht="15.75" customHeight="1">
      <c r="A207" s="102" t="s">
        <v>800</v>
      </c>
      <c r="B207" s="102" t="s">
        <v>832</v>
      </c>
      <c r="C207" s="102" t="s">
        <v>825</v>
      </c>
      <c r="D207" s="102"/>
      <c r="E207" s="103" t="s">
        <v>527</v>
      </c>
      <c r="F207" s="103"/>
      <c r="G207" s="112"/>
      <c r="H207" s="112"/>
      <c r="I207" s="92"/>
      <c r="J207" s="92"/>
      <c r="K207" s="92"/>
      <c r="L207" s="219"/>
      <c r="M207" s="113"/>
      <c r="N207" s="228"/>
      <c r="O207" s="228"/>
      <c r="P207" s="228"/>
      <c r="Q207" s="228"/>
      <c r="R207" s="228"/>
      <c r="S207" s="228"/>
      <c r="T207" s="228"/>
      <c r="U207" s="228"/>
      <c r="V207" s="225"/>
      <c r="W207" s="114"/>
      <c r="X207" s="114"/>
      <c r="Y207" s="113"/>
      <c r="Z207" s="113"/>
      <c r="AA207" s="113"/>
      <c r="AB207" s="113"/>
      <c r="AC207" s="109"/>
      <c r="AD207" s="109"/>
      <c r="AE207" s="109"/>
      <c r="AF207" s="109"/>
      <c r="AG207" s="109"/>
      <c r="AH207" s="134"/>
      <c r="AI207" s="134"/>
      <c r="AJ207" s="111"/>
      <c r="AK207" s="111"/>
      <c r="AL207" s="111"/>
      <c r="AM207" s="111"/>
      <c r="AN207" s="111"/>
      <c r="AO207" s="111"/>
      <c r="AP207" s="111"/>
      <c r="AQ207" t="str">
        <f t="shared" si="5"/>
        <v>CE ---  FI to CCS Sales Tax Extract Integration</v>
      </c>
      <c r="BQ207"/>
    </row>
    <row r="208" spans="1:69" ht="15.75" customHeight="1">
      <c r="A208" s="102" t="s">
        <v>800</v>
      </c>
      <c r="B208" s="102" t="s">
        <v>833</v>
      </c>
      <c r="C208" s="102" t="s">
        <v>813</v>
      </c>
      <c r="D208" s="102"/>
      <c r="E208" s="103" t="s">
        <v>527</v>
      </c>
      <c r="F208" s="103"/>
      <c r="G208" s="112"/>
      <c r="H208" s="112"/>
      <c r="I208" s="92"/>
      <c r="J208" s="92"/>
      <c r="K208" s="92"/>
      <c r="L208" s="219"/>
      <c r="M208" s="113"/>
      <c r="N208" s="228"/>
      <c r="O208" s="228"/>
      <c r="P208" s="228"/>
      <c r="Q208" s="228"/>
      <c r="R208" s="228"/>
      <c r="S208" s="228"/>
      <c r="T208" s="228"/>
      <c r="U208" s="228"/>
      <c r="V208" s="225"/>
      <c r="W208" s="114"/>
      <c r="X208" s="114"/>
      <c r="Y208" s="113"/>
      <c r="Z208" s="113"/>
      <c r="AA208" s="113"/>
      <c r="AB208" s="113"/>
      <c r="AC208" s="109"/>
      <c r="AD208" s="109"/>
      <c r="AE208" s="109"/>
      <c r="AF208" s="109"/>
      <c r="AG208" s="109"/>
      <c r="AH208" s="134"/>
      <c r="AI208" s="134"/>
      <c r="AJ208" s="111"/>
      <c r="AK208" s="111"/>
      <c r="AL208" s="111"/>
      <c r="AM208" s="111"/>
      <c r="AN208" s="111"/>
      <c r="AO208" s="111"/>
      <c r="AP208" s="111"/>
      <c r="AQ208" t="str">
        <f t="shared" si="5"/>
        <v xml:space="preserve">CE ---  Business Center Warehouse (BCW) Integration </v>
      </c>
      <c r="BQ208"/>
    </row>
    <row r="209" spans="1:69" ht="15.75" customHeight="1">
      <c r="A209" s="102" t="s">
        <v>800</v>
      </c>
      <c r="B209" s="102" t="s">
        <v>834</v>
      </c>
      <c r="C209" s="102" t="s">
        <v>813</v>
      </c>
      <c r="D209" s="102"/>
      <c r="E209" s="103" t="s">
        <v>527</v>
      </c>
      <c r="F209" s="103"/>
      <c r="G209" s="112"/>
      <c r="H209" s="112"/>
      <c r="I209" s="92"/>
      <c r="J209" s="92"/>
      <c r="K209" s="92"/>
      <c r="L209" s="219"/>
      <c r="M209" s="113"/>
      <c r="N209" s="228"/>
      <c r="O209" s="228"/>
      <c r="P209" s="228"/>
      <c r="Q209" s="228"/>
      <c r="R209" s="228"/>
      <c r="S209" s="228"/>
      <c r="T209" s="228"/>
      <c r="U209" s="228"/>
      <c r="V209" s="225"/>
      <c r="W209" s="114"/>
      <c r="X209" s="114"/>
      <c r="Y209" s="113"/>
      <c r="Z209" s="113"/>
      <c r="AA209" s="113"/>
      <c r="AB209" s="113"/>
      <c r="AC209" s="109"/>
      <c r="AD209" s="109"/>
      <c r="AE209" s="109"/>
      <c r="AF209" s="109"/>
      <c r="AG209" s="109"/>
      <c r="AH209" s="134"/>
      <c r="AI209" s="134"/>
      <c r="AJ209" s="111"/>
      <c r="AK209" s="111"/>
      <c r="AL209" s="111"/>
      <c r="AM209" s="111"/>
      <c r="AN209" s="111"/>
      <c r="AO209" s="111"/>
      <c r="AP209" s="111"/>
      <c r="AQ209" t="str">
        <f t="shared" si="5"/>
        <v>CE ---  OT (OWCE, DRMS)</v>
      </c>
      <c r="BQ209"/>
    </row>
    <row r="210" spans="1:69" ht="15.75" customHeight="1">
      <c r="A210" s="102" t="s">
        <v>800</v>
      </c>
      <c r="B210" s="185" t="s">
        <v>835</v>
      </c>
      <c r="C210" s="102" t="s">
        <v>836</v>
      </c>
      <c r="D210" s="102"/>
      <c r="E210" s="103" t="s">
        <v>527</v>
      </c>
      <c r="F210" s="103"/>
      <c r="G210" s="112"/>
      <c r="H210" s="112"/>
      <c r="I210" s="92"/>
      <c r="J210" s="92"/>
      <c r="K210" s="92"/>
      <c r="L210" s="219"/>
      <c r="M210" s="113"/>
      <c r="N210" s="228"/>
      <c r="O210" s="228"/>
      <c r="P210" s="228"/>
      <c r="Q210" s="228"/>
      <c r="R210" s="228"/>
      <c r="S210" s="228"/>
      <c r="T210" s="228"/>
      <c r="U210" s="228"/>
      <c r="V210" s="225"/>
      <c r="W210" s="114"/>
      <c r="X210" s="114"/>
      <c r="Y210" s="113"/>
      <c r="Z210" s="113"/>
      <c r="AA210" s="113"/>
      <c r="AB210" s="113"/>
      <c r="AC210" s="109"/>
      <c r="AD210" s="109"/>
      <c r="AE210" s="109"/>
      <c r="AF210" s="109"/>
      <c r="AG210" s="109"/>
      <c r="AH210" s="134"/>
      <c r="AI210" s="134"/>
      <c r="AJ210" s="111"/>
      <c r="AK210" s="111"/>
      <c r="AL210" s="111"/>
      <c r="AM210" s="111"/>
      <c r="AN210" s="111"/>
      <c r="AO210" s="111"/>
      <c r="AP210" s="111"/>
      <c r="AQ210" t="str">
        <f t="shared" si="5"/>
        <v>CE ---  CSSO Portal</v>
      </c>
      <c r="BQ210"/>
    </row>
    <row r="211" spans="1:69" ht="15.75" customHeight="1">
      <c r="A211" s="102" t="s">
        <v>800</v>
      </c>
      <c r="B211" s="185" t="s">
        <v>837</v>
      </c>
      <c r="C211" s="102" t="s">
        <v>836</v>
      </c>
      <c r="D211" s="102"/>
      <c r="E211" s="103" t="s">
        <v>527</v>
      </c>
      <c r="F211" s="103"/>
      <c r="G211" s="112"/>
      <c r="H211" s="112"/>
      <c r="I211" s="92"/>
      <c r="J211" s="92"/>
      <c r="K211" s="92"/>
      <c r="L211" s="219"/>
      <c r="M211" s="113"/>
      <c r="N211" s="228"/>
      <c r="O211" s="228"/>
      <c r="P211" s="228"/>
      <c r="Q211" s="228"/>
      <c r="R211" s="228"/>
      <c r="S211" s="228"/>
      <c r="T211" s="228"/>
      <c r="U211" s="228"/>
      <c r="V211" s="225"/>
      <c r="W211" s="114"/>
      <c r="X211" s="114"/>
      <c r="Y211" s="113"/>
      <c r="Z211" s="113"/>
      <c r="AA211" s="113"/>
      <c r="AB211" s="113"/>
      <c r="AC211" s="109"/>
      <c r="AD211" s="109"/>
      <c r="AE211" s="109"/>
      <c r="AF211" s="109"/>
      <c r="AG211" s="109"/>
      <c r="AH211" s="134"/>
      <c r="AI211" s="134"/>
      <c r="AJ211" s="111"/>
      <c r="AK211" s="111"/>
      <c r="AL211" s="111"/>
      <c r="AM211" s="111"/>
      <c r="AN211" s="111"/>
      <c r="AO211" s="111"/>
      <c r="AP211" s="111"/>
      <c r="AQ211" t="str">
        <f t="shared" si="5"/>
        <v>CE ---  EAM Dashboard</v>
      </c>
      <c r="BQ211"/>
    </row>
    <row r="212" spans="1:69" ht="15.75" customHeight="1">
      <c r="A212" s="102" t="s">
        <v>800</v>
      </c>
      <c r="B212" s="185" t="s">
        <v>838</v>
      </c>
      <c r="C212" s="102" t="s">
        <v>839</v>
      </c>
      <c r="D212" s="102"/>
      <c r="E212" s="103" t="s">
        <v>527</v>
      </c>
      <c r="F212" s="103"/>
      <c r="G212" s="112"/>
      <c r="H212" s="112"/>
      <c r="I212" s="92"/>
      <c r="J212" s="92"/>
      <c r="K212" s="92"/>
      <c r="L212" s="219"/>
      <c r="M212" s="113"/>
      <c r="N212" s="228"/>
      <c r="O212" s="228"/>
      <c r="P212" s="228"/>
      <c r="Q212" s="228"/>
      <c r="R212" s="228"/>
      <c r="S212" s="228"/>
      <c r="T212" s="228"/>
      <c r="U212" s="228"/>
      <c r="V212" s="225"/>
      <c r="W212" s="114"/>
      <c r="X212" s="114"/>
      <c r="Y212" s="113"/>
      <c r="Z212" s="113"/>
      <c r="AA212" s="113"/>
      <c r="AB212" s="113"/>
      <c r="AC212" s="109"/>
      <c r="AD212" s="109"/>
      <c r="AE212" s="109"/>
      <c r="AF212" s="109"/>
      <c r="AG212" s="109"/>
      <c r="AH212" s="134"/>
      <c r="AI212" s="134"/>
      <c r="AJ212" s="111"/>
      <c r="AK212" s="111"/>
      <c r="AL212" s="111"/>
      <c r="AM212" s="111"/>
      <c r="AN212" s="111"/>
      <c r="AO212" s="111"/>
      <c r="AP212" s="111"/>
      <c r="AQ212" t="str">
        <f t="shared" si="5"/>
        <v>CE ---  ForestryWISE</v>
      </c>
      <c r="BQ212"/>
    </row>
    <row r="213" spans="1:69" ht="15.75" customHeight="1">
      <c r="A213" s="102" t="s">
        <v>800</v>
      </c>
      <c r="B213" s="185" t="s">
        <v>840</v>
      </c>
      <c r="C213" s="102" t="s">
        <v>839</v>
      </c>
      <c r="D213" s="102"/>
      <c r="E213" s="103" t="s">
        <v>527</v>
      </c>
      <c r="F213" s="103"/>
      <c r="G213" s="112"/>
      <c r="H213" s="112"/>
      <c r="I213" s="92"/>
      <c r="J213" s="92"/>
      <c r="K213" s="92"/>
      <c r="L213" s="219"/>
      <c r="M213" s="113"/>
      <c r="N213" s="228"/>
      <c r="O213" s="228"/>
      <c r="P213" s="228"/>
      <c r="Q213" s="228"/>
      <c r="R213" s="228"/>
      <c r="S213" s="228"/>
      <c r="T213" s="228"/>
      <c r="U213" s="228"/>
      <c r="V213" s="225"/>
      <c r="W213" s="114"/>
      <c r="X213" s="114"/>
      <c r="Y213" s="113"/>
      <c r="Z213" s="113"/>
      <c r="AA213" s="113"/>
      <c r="AB213" s="113"/>
      <c r="AC213" s="109"/>
      <c r="AD213" s="109"/>
      <c r="AE213" s="109"/>
      <c r="AF213" s="109"/>
      <c r="AG213" s="109"/>
      <c r="AH213" s="134"/>
      <c r="AI213" s="134"/>
      <c r="AJ213" s="111"/>
      <c r="AK213" s="111"/>
      <c r="AL213" s="111"/>
      <c r="AM213" s="111"/>
      <c r="AN213" s="111"/>
      <c r="AO213" s="111"/>
      <c r="AP213" s="111"/>
      <c r="AQ213" t="str">
        <f t="shared" si="5"/>
        <v>CE ---  iSchedule</v>
      </c>
      <c r="BQ213"/>
    </row>
    <row r="214" spans="1:69" ht="15.75" customHeight="1">
      <c r="A214" s="102" t="s">
        <v>800</v>
      </c>
      <c r="B214" s="102" t="s">
        <v>841</v>
      </c>
      <c r="C214" s="102" t="s">
        <v>842</v>
      </c>
      <c r="D214" s="102"/>
      <c r="E214" s="103" t="s">
        <v>527</v>
      </c>
      <c r="F214" s="103"/>
      <c r="G214" s="112"/>
      <c r="H214" s="112"/>
      <c r="I214" s="92"/>
      <c r="J214" s="92"/>
      <c r="K214" s="92"/>
      <c r="L214" s="219"/>
      <c r="M214" s="113"/>
      <c r="N214" s="228"/>
      <c r="O214" s="228"/>
      <c r="P214" s="228"/>
      <c r="Q214" s="228"/>
      <c r="R214" s="228"/>
      <c r="S214" s="228"/>
      <c r="T214" s="228"/>
      <c r="U214" s="228"/>
      <c r="V214" s="225"/>
      <c r="W214" s="114"/>
      <c r="X214" s="114"/>
      <c r="Y214" s="113"/>
      <c r="Z214" s="113"/>
      <c r="AA214" s="113"/>
      <c r="AB214" s="113"/>
      <c r="AC214" s="109"/>
      <c r="AD214" s="109"/>
      <c r="AE214" s="109"/>
      <c r="AF214" s="109"/>
      <c r="AG214" s="109"/>
      <c r="AH214" s="134"/>
      <c r="AI214" s="134"/>
      <c r="AJ214" s="111"/>
      <c r="AK214" s="111"/>
      <c r="AL214" s="111"/>
      <c r="AM214" s="111"/>
      <c r="AN214" s="111"/>
      <c r="AO214" s="111"/>
      <c r="AP214" s="111"/>
      <c r="AQ214" t="str">
        <f t="shared" si="5"/>
        <v>CE ---  Mobile Phone Application</v>
      </c>
      <c r="BQ214"/>
    </row>
    <row r="215" spans="1:69" ht="15.75" customHeight="1">
      <c r="A215" s="102" t="s">
        <v>800</v>
      </c>
      <c r="B215" s="102" t="s">
        <v>843</v>
      </c>
      <c r="C215" s="102" t="s">
        <v>815</v>
      </c>
      <c r="D215" s="102"/>
      <c r="E215" s="103" t="s">
        <v>527</v>
      </c>
      <c r="F215" s="103"/>
      <c r="G215" s="112"/>
      <c r="H215" s="112"/>
      <c r="I215" s="92"/>
      <c r="J215" s="92"/>
      <c r="K215" s="92"/>
      <c r="L215" s="219"/>
      <c r="M215" s="113"/>
      <c r="N215" s="228"/>
      <c r="O215" s="228"/>
      <c r="P215" s="228"/>
      <c r="Q215" s="228"/>
      <c r="R215" s="228"/>
      <c r="S215" s="228"/>
      <c r="T215" s="228"/>
      <c r="U215" s="228"/>
      <c r="V215" s="225"/>
      <c r="W215" s="114"/>
      <c r="X215" s="114"/>
      <c r="Y215" s="113"/>
      <c r="Z215" s="113"/>
      <c r="AA215" s="113"/>
      <c r="AB215" s="113"/>
      <c r="AC215" s="109"/>
      <c r="AD215" s="109"/>
      <c r="AE215" s="109"/>
      <c r="AF215" s="109"/>
      <c r="AG215" s="109"/>
      <c r="AH215" s="134"/>
      <c r="AI215" s="134"/>
      <c r="AJ215" s="111"/>
      <c r="AK215" s="111"/>
      <c r="AL215" s="111"/>
      <c r="AM215" s="111"/>
      <c r="AN215" s="111"/>
      <c r="AO215" s="111"/>
      <c r="AP215" s="111"/>
      <c r="AQ215" t="str">
        <f t="shared" si="5"/>
        <v>CE ---  Customer Portal Admin</v>
      </c>
      <c r="BQ215"/>
    </row>
    <row r="216" spans="1:69" ht="15.75" customHeight="1">
      <c r="A216" s="102" t="s">
        <v>800</v>
      </c>
      <c r="B216" s="185" t="s">
        <v>844</v>
      </c>
      <c r="C216" s="102" t="s">
        <v>55</v>
      </c>
      <c r="D216" s="102"/>
      <c r="E216" s="103" t="s">
        <v>726</v>
      </c>
      <c r="F216" s="103"/>
      <c r="G216" s="112"/>
      <c r="H216" s="112"/>
      <c r="I216" s="92"/>
      <c r="J216" s="92"/>
      <c r="K216" s="92"/>
      <c r="L216" s="219"/>
      <c r="M216" s="113"/>
      <c r="N216" s="228"/>
      <c r="O216" s="228"/>
      <c r="P216" s="228"/>
      <c r="Q216" s="228"/>
      <c r="R216" s="228"/>
      <c r="S216" s="228"/>
      <c r="T216" s="228"/>
      <c r="U216" s="228"/>
      <c r="V216" s="225"/>
      <c r="W216" s="114"/>
      <c r="X216" s="114"/>
      <c r="Y216" s="113"/>
      <c r="Z216" s="113"/>
      <c r="AA216" s="113"/>
      <c r="AB216" s="113"/>
      <c r="AC216" s="109"/>
      <c r="AD216" s="115" t="s">
        <v>845</v>
      </c>
      <c r="AE216" s="115" t="s">
        <v>820</v>
      </c>
      <c r="AF216" s="115" t="s">
        <v>476</v>
      </c>
      <c r="AG216" s="109"/>
      <c r="AH216" s="134"/>
      <c r="AI216" s="134"/>
      <c r="AJ216" s="111"/>
      <c r="AK216" s="111"/>
      <c r="AL216" s="111"/>
      <c r="AM216" s="111"/>
      <c r="AN216" s="111"/>
      <c r="AO216" s="111"/>
      <c r="AP216" s="111"/>
      <c r="AQ216" t="str">
        <f t="shared" si="5"/>
        <v>CE ---  Agency Portal/CEPass</v>
      </c>
      <c r="BQ216"/>
    </row>
    <row r="217" spans="1:69" ht="15.75" customHeight="1">
      <c r="A217" s="102" t="s">
        <v>800</v>
      </c>
      <c r="B217" s="102" t="s">
        <v>846</v>
      </c>
      <c r="C217" s="102" t="s">
        <v>71</v>
      </c>
      <c r="D217" s="102"/>
      <c r="E217" s="103"/>
      <c r="F217" s="103"/>
      <c r="G217" s="112"/>
      <c r="H217" s="112"/>
      <c r="I217" s="92"/>
      <c r="J217" s="92"/>
      <c r="K217" s="92"/>
      <c r="L217" s="219"/>
      <c r="M217" s="113"/>
      <c r="N217" s="228"/>
      <c r="O217" s="228"/>
      <c r="P217" s="228"/>
      <c r="Q217" s="228"/>
      <c r="R217" s="228"/>
      <c r="S217" s="228"/>
      <c r="T217" s="228"/>
      <c r="U217" s="228"/>
      <c r="V217" s="225"/>
      <c r="W217" s="114"/>
      <c r="X217" s="114"/>
      <c r="Y217" s="113"/>
      <c r="Z217" s="113"/>
      <c r="AA217" s="113"/>
      <c r="AB217" s="113"/>
      <c r="AC217" s="109"/>
      <c r="AD217" s="109"/>
      <c r="AE217" s="109"/>
      <c r="AF217" s="109" t="s">
        <v>77</v>
      </c>
      <c r="AG217" s="109"/>
      <c r="AH217" s="134"/>
      <c r="AI217" s="134"/>
      <c r="AJ217" s="111"/>
      <c r="AK217" s="111"/>
      <c r="AL217" s="111"/>
      <c r="AM217" s="111"/>
      <c r="AN217" s="111"/>
      <c r="AO217" s="111"/>
      <c r="AP217" s="111"/>
      <c r="AQ217" t="str">
        <f t="shared" si="5"/>
        <v>CE ---  TRS Tax Code</v>
      </c>
      <c r="BQ217"/>
    </row>
    <row r="218" spans="1:69" ht="15.75" customHeight="1">
      <c r="A218" s="102" t="s">
        <v>800</v>
      </c>
      <c r="B218" s="102" t="s">
        <v>289</v>
      </c>
      <c r="C218" s="102" t="s">
        <v>55</v>
      </c>
      <c r="D218" s="102"/>
      <c r="E218" s="103" t="s">
        <v>726</v>
      </c>
      <c r="F218" s="103"/>
      <c r="G218" s="112"/>
      <c r="H218" s="112"/>
      <c r="I218" s="92"/>
      <c r="J218" s="92"/>
      <c r="K218" s="92"/>
      <c r="L218" s="219"/>
      <c r="M218" s="113"/>
      <c r="N218" s="228"/>
      <c r="O218" s="228"/>
      <c r="P218" s="228"/>
      <c r="Q218" s="228"/>
      <c r="R218" s="228"/>
      <c r="S218" s="228"/>
      <c r="T218" s="228"/>
      <c r="U218" s="228"/>
      <c r="V218" s="225"/>
      <c r="W218" s="114"/>
      <c r="X218" s="114"/>
      <c r="Y218" s="113"/>
      <c r="Z218" s="113"/>
      <c r="AA218" s="113"/>
      <c r="AB218" s="113"/>
      <c r="AC218" s="109"/>
      <c r="AD218" s="109"/>
      <c r="AE218" s="109"/>
      <c r="AF218" s="109"/>
      <c r="AG218" s="109"/>
      <c r="AH218" s="134"/>
      <c r="AI218" s="134"/>
      <c r="AJ218" s="111"/>
      <c r="AK218" s="111"/>
      <c r="AL218" s="111"/>
      <c r="AM218" s="111"/>
      <c r="AN218" s="111"/>
      <c r="AO218" s="111"/>
      <c r="AP218" s="111"/>
      <c r="AQ218" t="str">
        <f t="shared" si="5"/>
        <v>CE ---  Fuelworx</v>
      </c>
      <c r="BQ218"/>
    </row>
    <row r="227" spans="1:1" ht="15.75" customHeight="1">
      <c r="A227" s="35" t="s">
        <v>847</v>
      </c>
    </row>
    <row r="228" spans="1:1" ht="15.75" customHeight="1">
      <c r="A228" s="35" t="s">
        <v>848</v>
      </c>
    </row>
  </sheetData>
  <autoFilter ref="A1:AX218" xr:uid="{107A2909-032C-43BF-9739-19B7EF112134}"/>
  <sortState xmlns:xlrd2="http://schemas.microsoft.com/office/spreadsheetml/2017/richdata2" ref="A3:AX228">
    <sortCondition sortBy="cellColor" ref="N2:N228" dxfId="5"/>
    <sortCondition sortBy="cellColor" ref="N2:N228" dxfId="4"/>
    <sortCondition sortBy="cellColor" ref="N2:N228" dxfId="3"/>
    <sortCondition sortBy="cellColor" ref="N2:N228" dxfId="2"/>
  </sortState>
  <hyperlinks>
    <hyperlink ref="H13" r:id="rId1" xr:uid="{5445A087-7CFF-4A1D-AF64-ABD65388F89C}"/>
    <hyperlink ref="H25" r:id="rId2" display="customerservice@billtrust.com" xr:uid="{5352C2A1-FF65-4036-BEC8-9238A92FB73E}"/>
    <hyperlink ref="H21" r:id="rId3" display="GreatLakes_RetailOperations@constellation.com; Ana.Gutierrez@constellation.com;Tonia.Lively@constellation.com" xr:uid="{50B873C6-0192-499D-9AEB-02C5710A6AAF}"/>
  </hyperlinks>
  <pageMargins left="0.7" right="0.7" top="0.75" bottom="0.75" header="0.3" footer="0.3"/>
  <pageSetup orientation="portrait" r:id="rId4"/>
  <legacy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9730-CF7C-4436-BC5B-277DA48BAD0C}">
  <sheetPr filterMode="1">
    <tabColor theme="9" tint="0.39997558519241921"/>
  </sheetPr>
  <dimension ref="A1:G141"/>
  <sheetViews>
    <sheetView tabSelected="1" topLeftCell="A64" zoomScale="70" zoomScaleNormal="70" workbookViewId="0">
      <selection activeCell="C65" sqref="C65"/>
    </sheetView>
  </sheetViews>
  <sheetFormatPr defaultColWidth="50.140625" defaultRowHeight="15"/>
  <cols>
    <col min="1" max="1" width="40.28515625" bestFit="1" customWidth="1"/>
    <col min="2" max="2" width="38.140625" bestFit="1" customWidth="1"/>
    <col min="6" max="6" width="40" bestFit="1" customWidth="1"/>
  </cols>
  <sheetData>
    <row r="1" spans="1:7" ht="33.75" thickBot="1">
      <c r="A1" s="190" t="s">
        <v>849</v>
      </c>
      <c r="B1" s="190" t="s">
        <v>559</v>
      </c>
      <c r="C1" s="190" t="s">
        <v>850</v>
      </c>
      <c r="D1" s="190" t="s">
        <v>596</v>
      </c>
      <c r="E1" s="190" t="s">
        <v>851</v>
      </c>
      <c r="F1" s="190" t="s">
        <v>598</v>
      </c>
      <c r="G1" s="190" t="s">
        <v>599</v>
      </c>
    </row>
    <row r="2" spans="1:7" ht="231.75" hidden="1" thickBot="1">
      <c r="A2" s="191" t="s">
        <v>207</v>
      </c>
      <c r="B2" s="191" t="s">
        <v>601</v>
      </c>
      <c r="C2" s="191" t="s">
        <v>852</v>
      </c>
      <c r="D2" s="191" t="s">
        <v>853</v>
      </c>
      <c r="E2" s="135" t="s">
        <v>854</v>
      </c>
      <c r="F2" s="191" t="s">
        <v>668</v>
      </c>
      <c r="G2" s="191" t="s">
        <v>855</v>
      </c>
    </row>
    <row r="3" spans="1:7" ht="248.25" hidden="1" thickBot="1">
      <c r="A3" s="191" t="s">
        <v>207</v>
      </c>
      <c r="B3" s="191" t="s">
        <v>601</v>
      </c>
      <c r="C3" s="191" t="s">
        <v>856</v>
      </c>
      <c r="D3" s="191" t="s">
        <v>857</v>
      </c>
      <c r="E3" s="191" t="s">
        <v>858</v>
      </c>
      <c r="F3" s="191" t="s">
        <v>668</v>
      </c>
      <c r="G3" s="191" t="s">
        <v>859</v>
      </c>
    </row>
    <row r="4" spans="1:7" ht="248.25" hidden="1" thickBot="1">
      <c r="A4" s="191" t="s">
        <v>207</v>
      </c>
      <c r="B4" s="191" t="s">
        <v>601</v>
      </c>
      <c r="C4" s="191" t="s">
        <v>860</v>
      </c>
      <c r="D4" s="191" t="s">
        <v>861</v>
      </c>
      <c r="E4" s="191" t="s">
        <v>862</v>
      </c>
      <c r="F4" s="191" t="s">
        <v>668</v>
      </c>
      <c r="G4" s="191" t="s">
        <v>863</v>
      </c>
    </row>
    <row r="5" spans="1:7" ht="264.75" hidden="1" thickBot="1">
      <c r="A5" s="191" t="s">
        <v>207</v>
      </c>
      <c r="B5" s="191" t="s">
        <v>601</v>
      </c>
      <c r="C5" s="191" t="s">
        <v>864</v>
      </c>
      <c r="D5" s="191" t="s">
        <v>865</v>
      </c>
      <c r="E5" s="191" t="s">
        <v>858</v>
      </c>
      <c r="F5" s="191" t="s">
        <v>668</v>
      </c>
      <c r="G5" s="191" t="s">
        <v>866</v>
      </c>
    </row>
    <row r="6" spans="1:7" ht="248.25" hidden="1" thickBot="1">
      <c r="A6" s="191" t="s">
        <v>210</v>
      </c>
      <c r="B6" s="191" t="s">
        <v>601</v>
      </c>
      <c r="C6" s="191" t="s">
        <v>867</v>
      </c>
      <c r="D6" s="191" t="s">
        <v>868</v>
      </c>
      <c r="E6" s="191" t="s">
        <v>869</v>
      </c>
      <c r="F6" s="191" t="s">
        <v>668</v>
      </c>
      <c r="G6" s="191" t="s">
        <v>870</v>
      </c>
    </row>
    <row r="7" spans="1:7" ht="248.25" hidden="1" thickBot="1">
      <c r="A7" s="191" t="s">
        <v>210</v>
      </c>
      <c r="B7" s="191" t="s">
        <v>601</v>
      </c>
      <c r="C7" s="191" t="s">
        <v>871</v>
      </c>
      <c r="D7" s="191" t="s">
        <v>872</v>
      </c>
      <c r="E7" s="191" t="s">
        <v>869</v>
      </c>
      <c r="F7" s="191" t="s">
        <v>668</v>
      </c>
      <c r="G7" s="191" t="s">
        <v>873</v>
      </c>
    </row>
    <row r="8" spans="1:7" ht="231.75" hidden="1" thickBot="1">
      <c r="A8" s="191" t="s">
        <v>215</v>
      </c>
      <c r="B8" s="191" t="s">
        <v>601</v>
      </c>
      <c r="C8" s="191" t="s">
        <v>874</v>
      </c>
      <c r="D8" s="191" t="s">
        <v>875</v>
      </c>
      <c r="E8" s="191" t="s">
        <v>854</v>
      </c>
      <c r="F8" s="191" t="s">
        <v>668</v>
      </c>
      <c r="G8" s="191" t="s">
        <v>876</v>
      </c>
    </row>
    <row r="9" spans="1:7" ht="231.75" hidden="1" thickBot="1">
      <c r="A9" s="191" t="s">
        <v>215</v>
      </c>
      <c r="B9" s="191" t="s">
        <v>601</v>
      </c>
      <c r="C9" s="191" t="s">
        <v>877</v>
      </c>
      <c r="D9" s="191" t="s">
        <v>878</v>
      </c>
      <c r="E9" s="191" t="s">
        <v>879</v>
      </c>
      <c r="F9" s="191" t="s">
        <v>668</v>
      </c>
      <c r="G9" s="191" t="s">
        <v>880</v>
      </c>
    </row>
    <row r="10" spans="1:7" ht="248.25" hidden="1" thickBot="1">
      <c r="A10" s="191" t="s">
        <v>215</v>
      </c>
      <c r="B10" s="191" t="s">
        <v>601</v>
      </c>
      <c r="C10" s="191" t="s">
        <v>881</v>
      </c>
      <c r="D10" s="191" t="s">
        <v>882</v>
      </c>
      <c r="E10" s="191" t="s">
        <v>883</v>
      </c>
      <c r="F10" s="191" t="s">
        <v>668</v>
      </c>
      <c r="G10" s="191" t="s">
        <v>884</v>
      </c>
    </row>
    <row r="11" spans="1:7" ht="264.75" hidden="1" thickBot="1">
      <c r="A11" s="191" t="s">
        <v>215</v>
      </c>
      <c r="B11" s="191" t="s">
        <v>601</v>
      </c>
      <c r="C11" s="191" t="s">
        <v>885</v>
      </c>
      <c r="D11" s="191" t="s">
        <v>886</v>
      </c>
      <c r="E11" s="191" t="s">
        <v>879</v>
      </c>
      <c r="F11" s="191" t="s">
        <v>668</v>
      </c>
      <c r="G11" s="191" t="s">
        <v>887</v>
      </c>
    </row>
    <row r="12" spans="1:7" ht="231.75" hidden="1" thickBot="1">
      <c r="A12" s="191" t="s">
        <v>217</v>
      </c>
      <c r="B12" s="191" t="s">
        <v>601</v>
      </c>
      <c r="C12" s="191" t="s">
        <v>874</v>
      </c>
      <c r="D12" s="191" t="s">
        <v>888</v>
      </c>
      <c r="E12" s="191" t="s">
        <v>889</v>
      </c>
      <c r="F12" s="191" t="s">
        <v>668</v>
      </c>
      <c r="G12" s="191" t="s">
        <v>890</v>
      </c>
    </row>
    <row r="13" spans="1:7" ht="231.75" hidden="1" thickBot="1">
      <c r="A13" s="191" t="s">
        <v>217</v>
      </c>
      <c r="B13" s="191" t="s">
        <v>601</v>
      </c>
      <c r="C13" s="191" t="s">
        <v>877</v>
      </c>
      <c r="D13" s="191" t="s">
        <v>891</v>
      </c>
      <c r="E13" s="191" t="s">
        <v>889</v>
      </c>
      <c r="F13" s="191" t="s">
        <v>668</v>
      </c>
      <c r="G13" s="191" t="s">
        <v>892</v>
      </c>
    </row>
    <row r="14" spans="1:7" ht="231.75" hidden="1" thickBot="1">
      <c r="A14" s="191" t="s">
        <v>217</v>
      </c>
      <c r="B14" s="191" t="s">
        <v>601</v>
      </c>
      <c r="C14" s="191" t="s">
        <v>881</v>
      </c>
      <c r="D14" s="191" t="s">
        <v>893</v>
      </c>
      <c r="E14" s="191" t="s">
        <v>889</v>
      </c>
      <c r="F14" s="191" t="s">
        <v>668</v>
      </c>
      <c r="G14" s="191" t="s">
        <v>894</v>
      </c>
    </row>
    <row r="15" spans="1:7" ht="149.25" hidden="1" thickBot="1">
      <c r="A15" s="191" t="s">
        <v>217</v>
      </c>
      <c r="B15" s="191" t="s">
        <v>601</v>
      </c>
      <c r="C15" s="191" t="s">
        <v>885</v>
      </c>
      <c r="D15" s="191" t="s">
        <v>895</v>
      </c>
      <c r="E15" s="191" t="s">
        <v>879</v>
      </c>
      <c r="F15" s="191" t="s">
        <v>668</v>
      </c>
      <c r="G15" s="191" t="s">
        <v>896</v>
      </c>
    </row>
    <row r="16" spans="1:7" ht="231.75" hidden="1" thickBot="1">
      <c r="A16" s="191" t="s">
        <v>219</v>
      </c>
      <c r="B16" s="191" t="s">
        <v>601</v>
      </c>
      <c r="C16" s="191" t="s">
        <v>874</v>
      </c>
      <c r="D16" s="191" t="s">
        <v>897</v>
      </c>
      <c r="E16" s="191" t="s">
        <v>889</v>
      </c>
      <c r="F16" s="191" t="s">
        <v>668</v>
      </c>
      <c r="G16" s="191" t="s">
        <v>898</v>
      </c>
    </row>
    <row r="17" spans="1:7" ht="231.75" hidden="1" thickBot="1">
      <c r="A17" s="191" t="s">
        <v>219</v>
      </c>
      <c r="B17" s="191" t="s">
        <v>601</v>
      </c>
      <c r="C17" s="191" t="s">
        <v>877</v>
      </c>
      <c r="D17" s="191" t="s">
        <v>899</v>
      </c>
      <c r="E17" s="191" t="s">
        <v>889</v>
      </c>
      <c r="F17" s="191" t="s">
        <v>668</v>
      </c>
      <c r="G17" s="191" t="s">
        <v>900</v>
      </c>
    </row>
    <row r="18" spans="1:7" ht="248.25" hidden="1" thickBot="1">
      <c r="A18" s="191" t="s">
        <v>219</v>
      </c>
      <c r="B18" s="191" t="s">
        <v>601</v>
      </c>
      <c r="C18" s="191" t="s">
        <v>881</v>
      </c>
      <c r="D18" s="191" t="s">
        <v>901</v>
      </c>
      <c r="E18" s="191" t="s">
        <v>889</v>
      </c>
      <c r="F18" s="191" t="s">
        <v>668</v>
      </c>
      <c r="G18" s="191" t="s">
        <v>902</v>
      </c>
    </row>
    <row r="19" spans="1:7" ht="149.25" hidden="1" thickBot="1">
      <c r="A19" s="191" t="s">
        <v>219</v>
      </c>
      <c r="B19" s="191" t="s">
        <v>601</v>
      </c>
      <c r="C19" s="191" t="s">
        <v>885</v>
      </c>
      <c r="D19" s="191" t="s">
        <v>903</v>
      </c>
      <c r="E19" s="191" t="s">
        <v>904</v>
      </c>
      <c r="F19" s="191" t="s">
        <v>668</v>
      </c>
      <c r="G19" s="191" t="s">
        <v>905</v>
      </c>
    </row>
    <row r="20" spans="1:7" ht="231.75" hidden="1" thickBot="1">
      <c r="A20" s="191" t="s">
        <v>221</v>
      </c>
      <c r="B20" s="191" t="s">
        <v>601</v>
      </c>
      <c r="C20" s="191" t="s">
        <v>874</v>
      </c>
      <c r="D20" s="191" t="s">
        <v>906</v>
      </c>
      <c r="E20" s="191" t="s">
        <v>889</v>
      </c>
      <c r="F20" s="191" t="s">
        <v>668</v>
      </c>
      <c r="G20" s="191" t="s">
        <v>907</v>
      </c>
    </row>
    <row r="21" spans="1:7" ht="231.75" hidden="1" thickBot="1">
      <c r="A21" s="191" t="s">
        <v>221</v>
      </c>
      <c r="B21" s="191" t="s">
        <v>601</v>
      </c>
      <c r="C21" s="191" t="s">
        <v>877</v>
      </c>
      <c r="D21" s="191" t="s">
        <v>908</v>
      </c>
      <c r="E21" s="191" t="s">
        <v>889</v>
      </c>
      <c r="F21" s="191" t="s">
        <v>668</v>
      </c>
      <c r="G21" s="191" t="s">
        <v>909</v>
      </c>
    </row>
    <row r="22" spans="1:7" ht="231.75" hidden="1" thickBot="1">
      <c r="A22" s="191" t="s">
        <v>221</v>
      </c>
      <c r="B22" s="191" t="s">
        <v>601</v>
      </c>
      <c r="C22" s="191" t="s">
        <v>881</v>
      </c>
      <c r="D22" s="191" t="s">
        <v>910</v>
      </c>
      <c r="E22" s="191" t="s">
        <v>889</v>
      </c>
      <c r="F22" s="191" t="s">
        <v>668</v>
      </c>
      <c r="G22" s="191" t="s">
        <v>911</v>
      </c>
    </row>
    <row r="23" spans="1:7" ht="50.25" hidden="1" thickBot="1">
      <c r="A23" s="191" t="s">
        <v>221</v>
      </c>
      <c r="B23" s="191" t="s">
        <v>601</v>
      </c>
      <c r="C23" s="191" t="s">
        <v>885</v>
      </c>
      <c r="D23" s="191" t="s">
        <v>912</v>
      </c>
      <c r="E23" s="191" t="s">
        <v>904</v>
      </c>
      <c r="F23" s="191" t="s">
        <v>668</v>
      </c>
      <c r="G23" s="191" t="s">
        <v>913</v>
      </c>
    </row>
    <row r="24" spans="1:7" ht="66.75" thickBot="1">
      <c r="A24" s="191" t="s">
        <v>192</v>
      </c>
      <c r="B24" s="191" t="s">
        <v>193</v>
      </c>
      <c r="C24" s="191" t="s">
        <v>914</v>
      </c>
      <c r="D24" s="191" t="s">
        <v>904</v>
      </c>
      <c r="E24" s="191" t="s">
        <v>904</v>
      </c>
      <c r="F24" s="191" t="s">
        <v>904</v>
      </c>
      <c r="G24" s="191" t="s">
        <v>915</v>
      </c>
    </row>
    <row r="25" spans="1:7" ht="50.25" hidden="1" thickBot="1">
      <c r="A25" s="191" t="s">
        <v>637</v>
      </c>
      <c r="B25" s="191" t="s">
        <v>638</v>
      </c>
      <c r="C25" s="191" t="s">
        <v>914</v>
      </c>
      <c r="D25" s="191" t="s">
        <v>904</v>
      </c>
      <c r="E25" s="191" t="s">
        <v>904</v>
      </c>
      <c r="F25" s="191" t="s">
        <v>904</v>
      </c>
      <c r="G25" s="191" t="s">
        <v>916</v>
      </c>
    </row>
    <row r="26" spans="1:7" ht="50.25" thickBot="1">
      <c r="A26" s="191" t="s">
        <v>118</v>
      </c>
      <c r="B26" s="191" t="s">
        <v>119</v>
      </c>
      <c r="C26" s="191" t="s">
        <v>914</v>
      </c>
      <c r="D26" s="191" t="s">
        <v>904</v>
      </c>
      <c r="E26" s="191" t="s">
        <v>904</v>
      </c>
      <c r="F26" s="191" t="s">
        <v>904</v>
      </c>
      <c r="G26" s="191" t="s">
        <v>917</v>
      </c>
    </row>
    <row r="27" spans="1:7" ht="50.25" thickBot="1">
      <c r="A27" s="191" t="s">
        <v>633</v>
      </c>
      <c r="B27" s="191" t="s">
        <v>370</v>
      </c>
      <c r="C27" s="191" t="s">
        <v>914</v>
      </c>
      <c r="D27" s="191" t="s">
        <v>904</v>
      </c>
      <c r="E27" s="191" t="s">
        <v>904</v>
      </c>
      <c r="F27" s="191" t="s">
        <v>904</v>
      </c>
      <c r="G27" s="191" t="s">
        <v>918</v>
      </c>
    </row>
    <row r="28" spans="1:7" ht="149.25" thickBot="1">
      <c r="A28" s="191" t="s">
        <v>245</v>
      </c>
      <c r="B28" s="191" t="s">
        <v>703</v>
      </c>
      <c r="C28" s="191" t="s">
        <v>914</v>
      </c>
      <c r="D28" s="191" t="s">
        <v>904</v>
      </c>
      <c r="E28" s="191" t="s">
        <v>904</v>
      </c>
      <c r="F28" s="191" t="s">
        <v>904</v>
      </c>
      <c r="G28" s="191" t="s">
        <v>919</v>
      </c>
    </row>
    <row r="29" spans="1:7" ht="66.75" thickBot="1">
      <c r="A29" s="191" t="s">
        <v>267</v>
      </c>
      <c r="B29" s="191" t="s">
        <v>268</v>
      </c>
      <c r="C29" s="191" t="s">
        <v>914</v>
      </c>
      <c r="D29" s="191" t="s">
        <v>904</v>
      </c>
      <c r="E29" s="191" t="s">
        <v>904</v>
      </c>
      <c r="F29" s="191" t="s">
        <v>904</v>
      </c>
      <c r="G29" s="191" t="s">
        <v>920</v>
      </c>
    </row>
    <row r="30" spans="1:7" ht="231.75" hidden="1" thickBot="1">
      <c r="A30" s="191" t="s">
        <v>212</v>
      </c>
      <c r="B30" s="191" t="s">
        <v>662</v>
      </c>
      <c r="C30" s="191" t="s">
        <v>874</v>
      </c>
      <c r="D30" s="191" t="s">
        <v>921</v>
      </c>
      <c r="E30" s="191" t="s">
        <v>854</v>
      </c>
      <c r="F30" s="191" t="s">
        <v>668</v>
      </c>
      <c r="G30" s="191" t="s">
        <v>922</v>
      </c>
    </row>
    <row r="31" spans="1:7" ht="248.25" hidden="1" thickBot="1">
      <c r="A31" s="191" t="s">
        <v>212</v>
      </c>
      <c r="B31" s="191" t="s">
        <v>662</v>
      </c>
      <c r="C31" s="191" t="s">
        <v>877</v>
      </c>
      <c r="D31" s="191" t="s">
        <v>923</v>
      </c>
      <c r="E31" s="191" t="s">
        <v>889</v>
      </c>
      <c r="F31" s="191" t="s">
        <v>668</v>
      </c>
      <c r="G31" s="191" t="s">
        <v>924</v>
      </c>
    </row>
    <row r="32" spans="1:7" ht="248.25" hidden="1" thickBot="1">
      <c r="A32" s="191" t="s">
        <v>212</v>
      </c>
      <c r="B32" s="191" t="s">
        <v>662</v>
      </c>
      <c r="C32" s="191" t="s">
        <v>881</v>
      </c>
      <c r="D32" s="191" t="s">
        <v>925</v>
      </c>
      <c r="E32" s="191" t="s">
        <v>889</v>
      </c>
      <c r="F32" s="191" t="s">
        <v>668</v>
      </c>
      <c r="G32" s="191" t="s">
        <v>926</v>
      </c>
    </row>
    <row r="33" spans="1:7" ht="264.75" hidden="1" thickBot="1">
      <c r="A33" s="191" t="s">
        <v>212</v>
      </c>
      <c r="B33" s="191" t="s">
        <v>662</v>
      </c>
      <c r="C33" s="191" t="s">
        <v>885</v>
      </c>
      <c r="D33" s="191" t="s">
        <v>927</v>
      </c>
      <c r="E33" s="191" t="s">
        <v>879</v>
      </c>
      <c r="F33" s="191" t="s">
        <v>668</v>
      </c>
      <c r="G33" s="191" t="s">
        <v>928</v>
      </c>
    </row>
    <row r="34" spans="1:7" ht="17.25" thickBot="1">
      <c r="A34" s="190" t="s">
        <v>929</v>
      </c>
      <c r="B34" s="190" t="s">
        <v>559</v>
      </c>
      <c r="C34" s="190" t="s">
        <v>850</v>
      </c>
      <c r="D34" s="190" t="s">
        <v>596</v>
      </c>
      <c r="E34" s="190" t="s">
        <v>930</v>
      </c>
      <c r="F34" s="190" t="s">
        <v>931</v>
      </c>
      <c r="G34" s="190" t="s">
        <v>599</v>
      </c>
    </row>
    <row r="35" spans="1:7" ht="297.75" thickBot="1">
      <c r="A35" s="191" t="s">
        <v>90</v>
      </c>
      <c r="B35" s="191" t="s">
        <v>932</v>
      </c>
      <c r="C35" s="191" t="s">
        <v>933</v>
      </c>
      <c r="D35" s="191" t="s">
        <v>934</v>
      </c>
      <c r="E35" s="191" t="s">
        <v>935</v>
      </c>
      <c r="F35" s="191" t="s">
        <v>936</v>
      </c>
      <c r="G35" s="191" t="s">
        <v>937</v>
      </c>
    </row>
    <row r="36" spans="1:7" ht="396.75" thickBot="1">
      <c r="A36" s="191" t="s">
        <v>938</v>
      </c>
      <c r="B36" s="191" t="s">
        <v>939</v>
      </c>
      <c r="C36" s="191" t="s">
        <v>940</v>
      </c>
      <c r="D36" s="191" t="s">
        <v>941</v>
      </c>
      <c r="E36" s="191" t="s">
        <v>942</v>
      </c>
      <c r="F36" s="191" t="s">
        <v>943</v>
      </c>
      <c r="G36" s="191" t="s">
        <v>944</v>
      </c>
    </row>
    <row r="37" spans="1:7" ht="33">
      <c r="A37" s="265" t="s">
        <v>945</v>
      </c>
      <c r="B37" s="265" t="s">
        <v>946</v>
      </c>
      <c r="C37" s="265" t="s">
        <v>947</v>
      </c>
      <c r="D37" s="199" t="s">
        <v>948</v>
      </c>
      <c r="E37" s="265" t="s">
        <v>949</v>
      </c>
      <c r="F37" s="265" t="s">
        <v>950</v>
      </c>
      <c r="G37" s="265" t="s">
        <v>951</v>
      </c>
    </row>
    <row r="38" spans="1:7">
      <c r="A38" s="266"/>
      <c r="B38" s="266"/>
      <c r="C38" s="266"/>
      <c r="D38" s="200"/>
      <c r="E38" s="266"/>
      <c r="F38" s="266"/>
      <c r="G38" s="266"/>
    </row>
    <row r="39" spans="1:7" ht="297">
      <c r="A39" s="266"/>
      <c r="B39" s="266"/>
      <c r="C39" s="266"/>
      <c r="D39" s="201" t="s">
        <v>952</v>
      </c>
      <c r="E39" s="266"/>
      <c r="F39" s="266"/>
      <c r="G39" s="266"/>
    </row>
    <row r="40" spans="1:7" ht="297">
      <c r="A40" s="266"/>
      <c r="B40" s="266"/>
      <c r="C40" s="266"/>
      <c r="D40" s="201" t="s">
        <v>953</v>
      </c>
      <c r="E40" s="266"/>
      <c r="F40" s="266"/>
      <c r="G40" s="266"/>
    </row>
    <row r="41" spans="1:7" ht="264">
      <c r="A41" s="266"/>
      <c r="B41" s="266"/>
      <c r="C41" s="266"/>
      <c r="D41" s="201" t="s">
        <v>954</v>
      </c>
      <c r="E41" s="266"/>
      <c r="F41" s="266"/>
      <c r="G41" s="266"/>
    </row>
    <row r="42" spans="1:7" ht="15.75" thickBot="1">
      <c r="A42" s="267"/>
      <c r="B42" s="267"/>
      <c r="C42" s="267"/>
      <c r="D42" s="202"/>
      <c r="E42" s="267"/>
      <c r="F42" s="267"/>
      <c r="G42" s="267"/>
    </row>
    <row r="43" spans="1:7" ht="66.75" thickBot="1">
      <c r="A43" s="191" t="s">
        <v>164</v>
      </c>
      <c r="B43" s="191" t="s">
        <v>955</v>
      </c>
      <c r="C43" s="191" t="s">
        <v>914</v>
      </c>
      <c r="D43" s="191" t="s">
        <v>956</v>
      </c>
      <c r="E43" s="191" t="s">
        <v>904</v>
      </c>
      <c r="F43" s="191" t="s">
        <v>904</v>
      </c>
      <c r="G43" s="191" t="s">
        <v>957</v>
      </c>
    </row>
    <row r="44" spans="1:7" ht="347.25" thickBot="1">
      <c r="A44" s="191" t="s">
        <v>958</v>
      </c>
      <c r="B44" s="191" t="s">
        <v>722</v>
      </c>
      <c r="C44" s="191" t="s">
        <v>959</v>
      </c>
      <c r="D44" s="191" t="s">
        <v>960</v>
      </c>
      <c r="E44" s="191" t="s">
        <v>961</v>
      </c>
      <c r="F44" s="191" t="s">
        <v>962</v>
      </c>
      <c r="G44" s="191" t="s">
        <v>963</v>
      </c>
    </row>
    <row r="45" spans="1:7" ht="49.5">
      <c r="A45" s="265" t="s">
        <v>42</v>
      </c>
      <c r="B45" s="265" t="s">
        <v>964</v>
      </c>
      <c r="C45" s="265" t="s">
        <v>965</v>
      </c>
      <c r="D45" s="199" t="s">
        <v>966</v>
      </c>
      <c r="E45" s="265" t="s">
        <v>967</v>
      </c>
      <c r="F45" s="265" t="s">
        <v>950</v>
      </c>
      <c r="G45" s="265" t="s">
        <v>968</v>
      </c>
    </row>
    <row r="46" spans="1:7">
      <c r="A46" s="266"/>
      <c r="B46" s="266"/>
      <c r="C46" s="266"/>
      <c r="D46" s="200"/>
      <c r="E46" s="266"/>
      <c r="F46" s="266"/>
      <c r="G46" s="266"/>
    </row>
    <row r="47" spans="1:7" ht="66">
      <c r="A47" s="266"/>
      <c r="B47" s="266"/>
      <c r="C47" s="266"/>
      <c r="D47" s="201" t="s">
        <v>969</v>
      </c>
      <c r="E47" s="266"/>
      <c r="F47" s="266"/>
      <c r="G47" s="266"/>
    </row>
    <row r="48" spans="1:7" ht="346.5">
      <c r="A48" s="266"/>
      <c r="B48" s="266"/>
      <c r="C48" s="266"/>
      <c r="D48" s="201" t="s">
        <v>970</v>
      </c>
      <c r="E48" s="266"/>
      <c r="F48" s="266"/>
      <c r="G48" s="266"/>
    </row>
    <row r="49" spans="1:7" ht="15.75" thickBot="1">
      <c r="A49" s="267"/>
      <c r="B49" s="267"/>
      <c r="C49" s="267"/>
      <c r="D49" s="202"/>
      <c r="E49" s="267"/>
      <c r="F49" s="267"/>
      <c r="G49" s="267"/>
    </row>
    <row r="50" spans="1:7" ht="33.75" thickBot="1">
      <c r="A50" s="190" t="s">
        <v>971</v>
      </c>
      <c r="B50" s="190" t="s">
        <v>559</v>
      </c>
      <c r="C50" s="190" t="s">
        <v>850</v>
      </c>
      <c r="D50" s="190" t="s">
        <v>596</v>
      </c>
      <c r="E50" s="190" t="s">
        <v>851</v>
      </c>
      <c r="F50" s="190" t="s">
        <v>598</v>
      </c>
      <c r="G50" s="190" t="s">
        <v>599</v>
      </c>
    </row>
    <row r="51" spans="1:7" ht="314.25" thickBot="1">
      <c r="A51" s="191" t="s">
        <v>158</v>
      </c>
      <c r="B51" s="191" t="s">
        <v>613</v>
      </c>
      <c r="C51" s="191" t="s">
        <v>972</v>
      </c>
      <c r="D51" s="191" t="s">
        <v>973</v>
      </c>
      <c r="E51" s="191" t="s">
        <v>974</v>
      </c>
      <c r="F51" s="191" t="s">
        <v>904</v>
      </c>
      <c r="G51" s="191" t="s">
        <v>975</v>
      </c>
    </row>
    <row r="52" spans="1:7" ht="363.75" thickBot="1">
      <c r="A52" s="191" t="s">
        <v>158</v>
      </c>
      <c r="B52" s="191" t="s">
        <v>613</v>
      </c>
      <c r="C52" s="191" t="s">
        <v>976</v>
      </c>
      <c r="D52" s="191" t="s">
        <v>977</v>
      </c>
      <c r="E52" s="191" t="s">
        <v>978</v>
      </c>
      <c r="F52" s="191" t="s">
        <v>668</v>
      </c>
      <c r="G52" s="191" t="s">
        <v>979</v>
      </c>
    </row>
    <row r="53" spans="1:7" ht="99.75" thickBot="1">
      <c r="A53" s="191" t="s">
        <v>495</v>
      </c>
      <c r="B53" s="191" t="s">
        <v>980</v>
      </c>
      <c r="C53" s="191" t="s">
        <v>914</v>
      </c>
      <c r="D53" s="191" t="s">
        <v>904</v>
      </c>
      <c r="E53" s="191" t="s">
        <v>904</v>
      </c>
      <c r="F53" s="191" t="s">
        <v>904</v>
      </c>
      <c r="G53" s="191" t="s">
        <v>981</v>
      </c>
    </row>
    <row r="54" spans="1:7" ht="281.25" thickBot="1">
      <c r="A54" s="191" t="s">
        <v>343</v>
      </c>
      <c r="B54" s="191" t="s">
        <v>691</v>
      </c>
      <c r="C54" s="191" t="s">
        <v>982</v>
      </c>
      <c r="D54" s="191" t="s">
        <v>983</v>
      </c>
      <c r="E54" s="191" t="s">
        <v>984</v>
      </c>
      <c r="F54" s="191" t="s">
        <v>668</v>
      </c>
      <c r="G54" s="191" t="s">
        <v>985</v>
      </c>
    </row>
    <row r="55" spans="1:7" ht="99.75" thickBot="1">
      <c r="A55" s="191" t="s">
        <v>490</v>
      </c>
      <c r="B55" s="191" t="s">
        <v>986</v>
      </c>
      <c r="C55" s="191" t="s">
        <v>914</v>
      </c>
      <c r="D55" s="191" t="s">
        <v>904</v>
      </c>
      <c r="E55" s="191" t="s">
        <v>904</v>
      </c>
      <c r="F55" s="191" t="s">
        <v>904</v>
      </c>
      <c r="G55" s="191" t="s">
        <v>987</v>
      </c>
    </row>
    <row r="56" spans="1:7" ht="83.25" thickBot="1">
      <c r="A56" s="191" t="s">
        <v>186</v>
      </c>
      <c r="B56" s="191" t="s">
        <v>682</v>
      </c>
      <c r="C56" s="191" t="s">
        <v>914</v>
      </c>
      <c r="D56" s="191" t="s">
        <v>904</v>
      </c>
      <c r="E56" s="191" t="s">
        <v>904</v>
      </c>
      <c r="F56" s="191" t="s">
        <v>904</v>
      </c>
      <c r="G56" s="191" t="s">
        <v>988</v>
      </c>
    </row>
    <row r="57" spans="1:7" ht="83.25" thickBot="1">
      <c r="A57" s="191" t="s">
        <v>263</v>
      </c>
      <c r="B57" s="191" t="s">
        <v>264</v>
      </c>
      <c r="C57" s="191" t="s">
        <v>914</v>
      </c>
      <c r="D57" s="191" t="s">
        <v>904</v>
      </c>
      <c r="E57" s="191" t="s">
        <v>904</v>
      </c>
      <c r="F57" s="191" t="s">
        <v>904</v>
      </c>
      <c r="G57" s="191" t="s">
        <v>989</v>
      </c>
    </row>
    <row r="58" spans="1:7" ht="99.75" thickBot="1">
      <c r="A58" s="191" t="s">
        <v>433</v>
      </c>
      <c r="B58" s="191" t="s">
        <v>434</v>
      </c>
      <c r="C58" s="191" t="s">
        <v>914</v>
      </c>
      <c r="D58" s="191" t="s">
        <v>904</v>
      </c>
      <c r="E58" s="191" t="s">
        <v>904</v>
      </c>
      <c r="F58" s="191" t="s">
        <v>904</v>
      </c>
      <c r="G58" s="191" t="s">
        <v>990</v>
      </c>
    </row>
    <row r="59" spans="1:7" ht="83.25" thickBot="1">
      <c r="A59" s="191" t="s">
        <v>428</v>
      </c>
      <c r="B59" s="191" t="s">
        <v>646</v>
      </c>
      <c r="C59" s="191" t="s">
        <v>914</v>
      </c>
      <c r="D59" s="191" t="s">
        <v>904</v>
      </c>
      <c r="E59" s="191" t="s">
        <v>904</v>
      </c>
      <c r="F59" s="191" t="s">
        <v>904</v>
      </c>
      <c r="G59" s="191" t="s">
        <v>991</v>
      </c>
    </row>
    <row r="60" spans="1:7" ht="99.75" thickBot="1">
      <c r="A60" s="191" t="s">
        <v>390</v>
      </c>
      <c r="B60" s="191" t="s">
        <v>391</v>
      </c>
      <c r="C60" s="191" t="s">
        <v>914</v>
      </c>
      <c r="D60" s="191" t="s">
        <v>904</v>
      </c>
      <c r="E60" s="191" t="s">
        <v>904</v>
      </c>
      <c r="F60" s="191" t="s">
        <v>904</v>
      </c>
      <c r="G60" s="191" t="s">
        <v>992</v>
      </c>
    </row>
    <row r="61" spans="1:7" ht="297.75" thickBot="1">
      <c r="A61" s="191" t="s">
        <v>706</v>
      </c>
      <c r="B61" s="191" t="s">
        <v>251</v>
      </c>
      <c r="C61" s="191" t="s">
        <v>993</v>
      </c>
      <c r="D61" s="191" t="s">
        <v>994</v>
      </c>
      <c r="E61" s="191" t="s">
        <v>995</v>
      </c>
      <c r="F61" s="191" t="s">
        <v>668</v>
      </c>
      <c r="G61" s="191" t="s">
        <v>996</v>
      </c>
    </row>
    <row r="62" spans="1:7" ht="33.75" thickBot="1">
      <c r="A62" s="190" t="s">
        <v>997</v>
      </c>
      <c r="B62" s="190" t="s">
        <v>559</v>
      </c>
      <c r="C62" s="190" t="s">
        <v>850</v>
      </c>
      <c r="D62" s="190" t="s">
        <v>596</v>
      </c>
      <c r="E62" s="190" t="s">
        <v>851</v>
      </c>
      <c r="F62" s="190" t="s">
        <v>598</v>
      </c>
      <c r="G62" s="190" t="s">
        <v>599</v>
      </c>
    </row>
    <row r="63" spans="1:7" ht="297.75" thickBot="1">
      <c r="A63" s="191" t="s">
        <v>623</v>
      </c>
      <c r="B63" s="191" t="s">
        <v>624</v>
      </c>
      <c r="C63" s="191" t="s">
        <v>998</v>
      </c>
      <c r="D63" s="191" t="s">
        <v>999</v>
      </c>
      <c r="E63" s="191" t="s">
        <v>1000</v>
      </c>
      <c r="F63" s="191" t="s">
        <v>1001</v>
      </c>
      <c r="G63" s="191" t="s">
        <v>1002</v>
      </c>
    </row>
    <row r="64" spans="1:7" ht="330.75" thickBot="1">
      <c r="A64" s="191" t="s">
        <v>623</v>
      </c>
      <c r="B64" s="191" t="s">
        <v>624</v>
      </c>
      <c r="C64" s="191" t="s">
        <v>1003</v>
      </c>
      <c r="D64" s="191" t="s">
        <v>1004</v>
      </c>
      <c r="E64" s="191" t="s">
        <v>1005</v>
      </c>
      <c r="F64" s="191" t="s">
        <v>904</v>
      </c>
      <c r="G64" s="191" t="s">
        <v>1006</v>
      </c>
    </row>
    <row r="65" spans="1:7" ht="362.25">
      <c r="A65" s="191" t="s">
        <v>623</v>
      </c>
      <c r="B65" s="191" t="s">
        <v>624</v>
      </c>
      <c r="C65" s="191" t="s">
        <v>1007</v>
      </c>
      <c r="D65" s="191" t="s">
        <v>1008</v>
      </c>
      <c r="E65" s="191" t="s">
        <v>1009</v>
      </c>
      <c r="F65" s="191" t="s">
        <v>622</v>
      </c>
      <c r="G65" s="191" t="s">
        <v>1010</v>
      </c>
    </row>
    <row r="66" spans="1:7" ht="314.25" thickBot="1">
      <c r="A66" s="191" t="s">
        <v>90</v>
      </c>
      <c r="B66" s="191" t="s">
        <v>671</v>
      </c>
      <c r="C66" s="191" t="s">
        <v>1011</v>
      </c>
      <c r="D66" s="191" t="s">
        <v>1012</v>
      </c>
      <c r="E66" s="191" t="s">
        <v>1013</v>
      </c>
      <c r="F66" s="191" t="s">
        <v>1001</v>
      </c>
      <c r="G66" s="191" t="s">
        <v>1014</v>
      </c>
    </row>
    <row r="67" spans="1:7" ht="297.75" thickBot="1">
      <c r="A67" s="191" t="s">
        <v>90</v>
      </c>
      <c r="B67" s="191" t="s">
        <v>671</v>
      </c>
      <c r="C67" s="191" t="s">
        <v>1015</v>
      </c>
      <c r="D67" s="191" t="s">
        <v>1016</v>
      </c>
      <c r="E67" s="191" t="s">
        <v>1013</v>
      </c>
      <c r="F67" s="191" t="s">
        <v>1001</v>
      </c>
      <c r="G67" s="191" t="s">
        <v>1017</v>
      </c>
    </row>
    <row r="68" spans="1:7" ht="409.6" thickBot="1">
      <c r="A68" s="191" t="s">
        <v>90</v>
      </c>
      <c r="B68" s="191" t="s">
        <v>671</v>
      </c>
      <c r="C68" s="191" t="s">
        <v>1018</v>
      </c>
      <c r="D68" s="191" t="s">
        <v>1019</v>
      </c>
      <c r="E68" s="191" t="s">
        <v>1013</v>
      </c>
      <c r="F68" s="191" t="s">
        <v>668</v>
      </c>
      <c r="G68" s="191" t="s">
        <v>1020</v>
      </c>
    </row>
    <row r="69" spans="1:7" ht="363.75" thickBot="1">
      <c r="A69" s="191" t="s">
        <v>90</v>
      </c>
      <c r="B69" s="191" t="s">
        <v>671</v>
      </c>
      <c r="C69" s="191" t="s">
        <v>1021</v>
      </c>
      <c r="D69" s="191" t="s">
        <v>1022</v>
      </c>
      <c r="E69" s="191" t="s">
        <v>1023</v>
      </c>
      <c r="F69" s="191" t="s">
        <v>904</v>
      </c>
      <c r="G69" s="191" t="s">
        <v>1024</v>
      </c>
    </row>
    <row r="70" spans="1:7" ht="33.75" thickBot="1">
      <c r="A70" s="190" t="s">
        <v>1025</v>
      </c>
      <c r="B70" s="190" t="s">
        <v>559</v>
      </c>
      <c r="C70" s="190" t="s">
        <v>850</v>
      </c>
      <c r="D70" s="190" t="s">
        <v>596</v>
      </c>
      <c r="E70" s="190" t="s">
        <v>851</v>
      </c>
      <c r="F70" s="190" t="s">
        <v>598</v>
      </c>
      <c r="G70" s="190" t="s">
        <v>599</v>
      </c>
    </row>
    <row r="71" spans="1:7" ht="83.25" hidden="1" thickBot="1">
      <c r="A71" s="191" t="s">
        <v>293</v>
      </c>
      <c r="B71" s="191" t="s">
        <v>700</v>
      </c>
      <c r="C71" s="191" t="s">
        <v>914</v>
      </c>
      <c r="D71" s="191" t="s">
        <v>904</v>
      </c>
      <c r="E71" s="191" t="s">
        <v>904</v>
      </c>
      <c r="F71" s="191" t="s">
        <v>904</v>
      </c>
      <c r="G71" s="191" t="s">
        <v>1026</v>
      </c>
    </row>
    <row r="72" spans="1:7" ht="83.25" hidden="1" thickBot="1">
      <c r="A72" s="191" t="s">
        <v>297</v>
      </c>
      <c r="B72" s="191" t="s">
        <v>700</v>
      </c>
      <c r="C72" s="191" t="s">
        <v>914</v>
      </c>
      <c r="D72" s="191" t="s">
        <v>904</v>
      </c>
      <c r="E72" s="191" t="s">
        <v>904</v>
      </c>
      <c r="F72" s="191" t="s">
        <v>904</v>
      </c>
      <c r="G72" s="191" t="s">
        <v>1027</v>
      </c>
    </row>
    <row r="73" spans="1:7" ht="66.75" hidden="1" thickBot="1">
      <c r="A73" s="191" t="s">
        <v>298</v>
      </c>
      <c r="B73" s="191" t="s">
        <v>700</v>
      </c>
      <c r="C73" s="191" t="s">
        <v>914</v>
      </c>
      <c r="D73" s="191" t="s">
        <v>904</v>
      </c>
      <c r="E73" s="191" t="s">
        <v>904</v>
      </c>
      <c r="F73" s="191" t="s">
        <v>904</v>
      </c>
      <c r="G73" s="191" t="s">
        <v>1028</v>
      </c>
    </row>
    <row r="74" spans="1:7" ht="50.25" hidden="1" thickBot="1">
      <c r="A74" s="191" t="s">
        <v>300</v>
      </c>
      <c r="B74" s="191" t="s">
        <v>700</v>
      </c>
      <c r="C74" s="191" t="s">
        <v>914</v>
      </c>
      <c r="D74" s="191" t="s">
        <v>904</v>
      </c>
      <c r="E74" s="191" t="s">
        <v>904</v>
      </c>
      <c r="F74" s="191" t="s">
        <v>904</v>
      </c>
      <c r="G74" s="191" t="s">
        <v>1029</v>
      </c>
    </row>
    <row r="75" spans="1:7" ht="314.25" hidden="1" thickBot="1">
      <c r="A75" s="191" t="s">
        <v>301</v>
      </c>
      <c r="B75" s="191" t="s">
        <v>700</v>
      </c>
      <c r="C75" s="191" t="s">
        <v>1030</v>
      </c>
      <c r="D75" s="191" t="s">
        <v>1031</v>
      </c>
      <c r="E75" s="191" t="s">
        <v>1032</v>
      </c>
      <c r="F75" s="191" t="s">
        <v>668</v>
      </c>
      <c r="G75" s="191" t="s">
        <v>1033</v>
      </c>
    </row>
    <row r="76" spans="1:7" ht="330.75" hidden="1" thickBot="1">
      <c r="A76" s="191" t="s">
        <v>301</v>
      </c>
      <c r="B76" s="191" t="s">
        <v>700</v>
      </c>
      <c r="C76" s="191" t="s">
        <v>1034</v>
      </c>
      <c r="D76" s="191" t="s">
        <v>1035</v>
      </c>
      <c r="E76" s="191" t="s">
        <v>1036</v>
      </c>
      <c r="F76" s="191" t="s">
        <v>668</v>
      </c>
      <c r="G76" s="191" t="s">
        <v>1037</v>
      </c>
    </row>
    <row r="77" spans="1:7" ht="66.75" hidden="1" thickBot="1">
      <c r="A77" s="191" t="s">
        <v>302</v>
      </c>
      <c r="B77" s="191" t="s">
        <v>700</v>
      </c>
      <c r="C77" s="191" t="s">
        <v>914</v>
      </c>
      <c r="D77" s="191" t="s">
        <v>904</v>
      </c>
      <c r="E77" s="191" t="s">
        <v>904</v>
      </c>
      <c r="F77" s="191" t="s">
        <v>904</v>
      </c>
      <c r="G77" s="191" t="s">
        <v>1038</v>
      </c>
    </row>
    <row r="78" spans="1:7" ht="66.75" hidden="1" thickBot="1">
      <c r="A78" s="191" t="s">
        <v>303</v>
      </c>
      <c r="B78" s="191" t="s">
        <v>700</v>
      </c>
      <c r="C78" s="191" t="s">
        <v>914</v>
      </c>
      <c r="D78" s="191" t="s">
        <v>904</v>
      </c>
      <c r="E78" s="191" t="s">
        <v>904</v>
      </c>
      <c r="F78" s="191" t="s">
        <v>904</v>
      </c>
      <c r="G78" s="191" t="s">
        <v>1039</v>
      </c>
    </row>
    <row r="79" spans="1:7" ht="50.25" hidden="1" thickBot="1">
      <c r="A79" s="191" t="s">
        <v>304</v>
      </c>
      <c r="B79" s="191" t="s">
        <v>700</v>
      </c>
      <c r="C79" s="191" t="s">
        <v>914</v>
      </c>
      <c r="D79" s="191" t="s">
        <v>904</v>
      </c>
      <c r="E79" s="191" t="s">
        <v>904</v>
      </c>
      <c r="F79" s="191" t="s">
        <v>904</v>
      </c>
      <c r="G79" s="191" t="s">
        <v>1040</v>
      </c>
    </row>
    <row r="80" spans="1:7" ht="66.75" hidden="1" thickBot="1">
      <c r="A80" s="191" t="s">
        <v>305</v>
      </c>
      <c r="B80" s="191" t="s">
        <v>700</v>
      </c>
      <c r="C80" s="191" t="s">
        <v>914</v>
      </c>
      <c r="D80" s="191" t="s">
        <v>904</v>
      </c>
      <c r="E80" s="191" t="s">
        <v>904</v>
      </c>
      <c r="F80" s="191" t="s">
        <v>904</v>
      </c>
      <c r="G80" s="191" t="s">
        <v>1041</v>
      </c>
    </row>
    <row r="81" spans="1:7" ht="314.25" hidden="1" thickBot="1">
      <c r="A81" s="191" t="s">
        <v>306</v>
      </c>
      <c r="B81" s="191" t="s">
        <v>700</v>
      </c>
      <c r="C81" s="191" t="s">
        <v>1030</v>
      </c>
      <c r="D81" s="191" t="s">
        <v>1042</v>
      </c>
      <c r="E81" s="191" t="s">
        <v>1032</v>
      </c>
      <c r="F81" s="191" t="s">
        <v>668</v>
      </c>
      <c r="G81" s="191" t="s">
        <v>1043</v>
      </c>
    </row>
    <row r="82" spans="1:7" ht="363.75" hidden="1" thickBot="1">
      <c r="A82" s="191" t="s">
        <v>306</v>
      </c>
      <c r="B82" s="191" t="s">
        <v>700</v>
      </c>
      <c r="C82" s="191" t="s">
        <v>1034</v>
      </c>
      <c r="D82" s="191" t="s">
        <v>1044</v>
      </c>
      <c r="E82" s="191" t="s">
        <v>1036</v>
      </c>
      <c r="F82" s="191" t="s">
        <v>668</v>
      </c>
      <c r="G82" s="191" t="s">
        <v>1045</v>
      </c>
    </row>
    <row r="83" spans="1:7" ht="66.75" hidden="1" thickBot="1">
      <c r="A83" s="191" t="s">
        <v>307</v>
      </c>
      <c r="B83" s="191" t="s">
        <v>700</v>
      </c>
      <c r="C83" s="191" t="s">
        <v>914</v>
      </c>
      <c r="D83" s="191" t="s">
        <v>904</v>
      </c>
      <c r="E83" s="191" t="s">
        <v>904</v>
      </c>
      <c r="F83" s="191" t="s">
        <v>904</v>
      </c>
      <c r="G83" s="191" t="s">
        <v>1046</v>
      </c>
    </row>
    <row r="84" spans="1:7" ht="99.75" hidden="1" thickBot="1">
      <c r="A84" s="191" t="s">
        <v>308</v>
      </c>
      <c r="B84" s="191" t="s">
        <v>700</v>
      </c>
      <c r="C84" s="191" t="s">
        <v>914</v>
      </c>
      <c r="D84" s="191" t="s">
        <v>904</v>
      </c>
      <c r="E84" s="191" t="s">
        <v>904</v>
      </c>
      <c r="F84" s="191" t="s">
        <v>904</v>
      </c>
      <c r="G84" s="191" t="s">
        <v>1047</v>
      </c>
    </row>
    <row r="85" spans="1:7" ht="66.75" hidden="1" thickBot="1">
      <c r="A85" s="191" t="s">
        <v>309</v>
      </c>
      <c r="B85" s="191" t="s">
        <v>700</v>
      </c>
      <c r="C85" s="191" t="s">
        <v>914</v>
      </c>
      <c r="D85" s="191" t="s">
        <v>904</v>
      </c>
      <c r="E85" s="191" t="s">
        <v>904</v>
      </c>
      <c r="F85" s="191" t="s">
        <v>904</v>
      </c>
      <c r="G85" s="191" t="s">
        <v>1048</v>
      </c>
    </row>
    <row r="86" spans="1:7" ht="66.75" hidden="1" thickBot="1">
      <c r="A86" s="191" t="s">
        <v>310</v>
      </c>
      <c r="B86" s="191" t="s">
        <v>700</v>
      </c>
      <c r="C86" s="191" t="s">
        <v>914</v>
      </c>
      <c r="D86" s="191" t="s">
        <v>904</v>
      </c>
      <c r="E86" s="191" t="s">
        <v>904</v>
      </c>
      <c r="F86" s="191" t="s">
        <v>904</v>
      </c>
      <c r="G86" s="191" t="s">
        <v>1049</v>
      </c>
    </row>
    <row r="87" spans="1:7" ht="66.75" hidden="1" thickBot="1">
      <c r="A87" s="191" t="s">
        <v>311</v>
      </c>
      <c r="B87" s="191" t="s">
        <v>700</v>
      </c>
      <c r="C87" s="191" t="s">
        <v>914</v>
      </c>
      <c r="D87" s="191" t="s">
        <v>904</v>
      </c>
      <c r="E87" s="191" t="s">
        <v>904</v>
      </c>
      <c r="F87" s="191" t="s">
        <v>904</v>
      </c>
      <c r="G87" s="191" t="s">
        <v>1050</v>
      </c>
    </row>
    <row r="88" spans="1:7" ht="66.75" hidden="1" thickBot="1">
      <c r="A88" s="191" t="s">
        <v>312</v>
      </c>
      <c r="B88" s="191" t="s">
        <v>700</v>
      </c>
      <c r="C88" s="191" t="s">
        <v>914</v>
      </c>
      <c r="D88" s="191" t="s">
        <v>904</v>
      </c>
      <c r="E88" s="191" t="s">
        <v>904</v>
      </c>
      <c r="F88" s="191" t="s">
        <v>904</v>
      </c>
      <c r="G88" s="191" t="s">
        <v>1051</v>
      </c>
    </row>
    <row r="89" spans="1:7" ht="314.25" hidden="1" thickBot="1">
      <c r="A89" s="191" t="s">
        <v>313</v>
      </c>
      <c r="B89" s="191" t="s">
        <v>700</v>
      </c>
      <c r="C89" s="191" t="s">
        <v>1030</v>
      </c>
      <c r="D89" s="191" t="s">
        <v>1052</v>
      </c>
      <c r="E89" s="191" t="s">
        <v>1032</v>
      </c>
      <c r="F89" s="191" t="s">
        <v>668</v>
      </c>
      <c r="G89" s="191" t="s">
        <v>1053</v>
      </c>
    </row>
    <row r="90" spans="1:7" ht="347.25" hidden="1" thickBot="1">
      <c r="A90" s="191" t="s">
        <v>313</v>
      </c>
      <c r="B90" s="191" t="s">
        <v>700</v>
      </c>
      <c r="C90" s="191" t="s">
        <v>1034</v>
      </c>
      <c r="D90" s="191" t="s">
        <v>1054</v>
      </c>
      <c r="E90" s="191" t="s">
        <v>1055</v>
      </c>
      <c r="F90" s="191" t="s">
        <v>668</v>
      </c>
      <c r="G90" s="191" t="s">
        <v>1056</v>
      </c>
    </row>
    <row r="91" spans="1:7" ht="50.25" hidden="1" thickBot="1">
      <c r="A91" s="191" t="s">
        <v>314</v>
      </c>
      <c r="B91" s="191" t="s">
        <v>700</v>
      </c>
      <c r="C91" s="191" t="s">
        <v>914</v>
      </c>
      <c r="D91" s="191" t="s">
        <v>904</v>
      </c>
      <c r="E91" s="191" t="s">
        <v>904</v>
      </c>
      <c r="F91" s="191" t="s">
        <v>904</v>
      </c>
      <c r="G91" s="191" t="s">
        <v>1057</v>
      </c>
    </row>
    <row r="92" spans="1:7" ht="66.75" hidden="1" thickBot="1">
      <c r="A92" s="191" t="s">
        <v>702</v>
      </c>
      <c r="B92" s="191" t="s">
        <v>700</v>
      </c>
      <c r="C92" s="191" t="s">
        <v>914</v>
      </c>
      <c r="D92" s="191" t="s">
        <v>904</v>
      </c>
      <c r="E92" s="191" t="s">
        <v>904</v>
      </c>
      <c r="F92" s="191" t="s">
        <v>904</v>
      </c>
      <c r="G92" s="191" t="s">
        <v>1058</v>
      </c>
    </row>
    <row r="93" spans="1:7" ht="66.75" hidden="1" thickBot="1">
      <c r="A93" s="191" t="s">
        <v>316</v>
      </c>
      <c r="B93" s="191" t="s">
        <v>700</v>
      </c>
      <c r="C93" s="191" t="s">
        <v>914</v>
      </c>
      <c r="D93" s="191" t="s">
        <v>904</v>
      </c>
      <c r="E93" s="191" t="s">
        <v>904</v>
      </c>
      <c r="F93" s="191" t="s">
        <v>904</v>
      </c>
      <c r="G93" s="191" t="s">
        <v>1059</v>
      </c>
    </row>
    <row r="94" spans="1:7" ht="66.75" hidden="1" thickBot="1">
      <c r="A94" s="191" t="s">
        <v>317</v>
      </c>
      <c r="B94" s="191" t="s">
        <v>700</v>
      </c>
      <c r="C94" s="191" t="s">
        <v>914</v>
      </c>
      <c r="D94" s="191" t="s">
        <v>904</v>
      </c>
      <c r="E94" s="191" t="s">
        <v>904</v>
      </c>
      <c r="F94" s="191" t="s">
        <v>904</v>
      </c>
      <c r="G94" s="191" t="s">
        <v>1060</v>
      </c>
    </row>
    <row r="95" spans="1:7" ht="66.75" hidden="1" thickBot="1">
      <c r="A95" s="191" t="s">
        <v>318</v>
      </c>
      <c r="B95" s="191" t="s">
        <v>700</v>
      </c>
      <c r="C95" s="191" t="s">
        <v>914</v>
      </c>
      <c r="D95" s="191" t="s">
        <v>904</v>
      </c>
      <c r="E95" s="191" t="s">
        <v>904</v>
      </c>
      <c r="F95" s="191" t="s">
        <v>904</v>
      </c>
      <c r="G95" s="191" t="s">
        <v>1061</v>
      </c>
    </row>
    <row r="96" spans="1:7" ht="66.75" hidden="1" thickBot="1">
      <c r="A96" s="191" t="s">
        <v>319</v>
      </c>
      <c r="B96" s="191" t="s">
        <v>700</v>
      </c>
      <c r="C96" s="191" t="s">
        <v>914</v>
      </c>
      <c r="D96" s="191" t="s">
        <v>904</v>
      </c>
      <c r="E96" s="191" t="s">
        <v>904</v>
      </c>
      <c r="F96" s="191" t="s">
        <v>904</v>
      </c>
      <c r="G96" s="191" t="s">
        <v>1062</v>
      </c>
    </row>
    <row r="97" spans="1:7" ht="66.75" hidden="1" thickBot="1">
      <c r="A97" s="191" t="s">
        <v>320</v>
      </c>
      <c r="B97" s="191" t="s">
        <v>700</v>
      </c>
      <c r="C97" s="191" t="s">
        <v>914</v>
      </c>
      <c r="D97" s="191" t="s">
        <v>904</v>
      </c>
      <c r="E97" s="191" t="s">
        <v>904</v>
      </c>
      <c r="F97" s="191" t="s">
        <v>904</v>
      </c>
      <c r="G97" s="191" t="s">
        <v>1063</v>
      </c>
    </row>
    <row r="98" spans="1:7" ht="66.75" hidden="1" thickBot="1">
      <c r="A98" s="191" t="s">
        <v>321</v>
      </c>
      <c r="B98" s="191" t="s">
        <v>700</v>
      </c>
      <c r="C98" s="191" t="s">
        <v>914</v>
      </c>
      <c r="D98" s="191" t="s">
        <v>904</v>
      </c>
      <c r="E98" s="191" t="s">
        <v>904</v>
      </c>
      <c r="F98" s="191" t="s">
        <v>904</v>
      </c>
      <c r="G98" s="191" t="s">
        <v>1064</v>
      </c>
    </row>
    <row r="99" spans="1:7" ht="33.75" thickBot="1">
      <c r="A99" s="190" t="s">
        <v>1065</v>
      </c>
      <c r="B99" s="190" t="s">
        <v>559</v>
      </c>
      <c r="C99" s="190" t="s">
        <v>850</v>
      </c>
      <c r="D99" s="190" t="s">
        <v>596</v>
      </c>
      <c r="E99" s="190" t="s">
        <v>851</v>
      </c>
      <c r="F99" s="190" t="s">
        <v>598</v>
      </c>
      <c r="G99" s="190" t="s">
        <v>599</v>
      </c>
    </row>
    <row r="100" spans="1:7" ht="231.75" thickBot="1">
      <c r="A100" s="191" t="s">
        <v>150</v>
      </c>
      <c r="B100" s="191" t="s">
        <v>665</v>
      </c>
      <c r="C100" s="191" t="s">
        <v>1066</v>
      </c>
      <c r="D100" s="191" t="s">
        <v>1067</v>
      </c>
      <c r="E100" s="191" t="s">
        <v>1068</v>
      </c>
      <c r="F100" s="191" t="s">
        <v>668</v>
      </c>
      <c r="G100" s="191" t="s">
        <v>1069</v>
      </c>
    </row>
    <row r="101" spans="1:7" ht="248.25" thickBot="1">
      <c r="A101" s="191" t="s">
        <v>150</v>
      </c>
      <c r="B101" s="191" t="s">
        <v>665</v>
      </c>
      <c r="C101" s="191" t="s">
        <v>1070</v>
      </c>
      <c r="D101" s="191" t="s">
        <v>1071</v>
      </c>
      <c r="E101" s="191" t="s">
        <v>1072</v>
      </c>
      <c r="F101" s="191" t="s">
        <v>668</v>
      </c>
      <c r="G101" s="191" t="s">
        <v>1073</v>
      </c>
    </row>
    <row r="102" spans="1:7" ht="149.25" thickBot="1">
      <c r="A102" s="191" t="s">
        <v>150</v>
      </c>
      <c r="B102" s="191" t="s">
        <v>665</v>
      </c>
      <c r="C102" s="191" t="s">
        <v>1074</v>
      </c>
      <c r="D102" s="191" t="s">
        <v>1075</v>
      </c>
      <c r="E102" s="191" t="s">
        <v>1076</v>
      </c>
      <c r="F102" s="191" t="s">
        <v>668</v>
      </c>
      <c r="G102" s="191" t="s">
        <v>1077</v>
      </c>
    </row>
    <row r="103" spans="1:7" ht="149.25" thickBot="1">
      <c r="A103" s="191" t="s">
        <v>150</v>
      </c>
      <c r="B103" s="191" t="s">
        <v>665</v>
      </c>
      <c r="C103" s="191" t="s">
        <v>1078</v>
      </c>
      <c r="D103" s="191" t="s">
        <v>1079</v>
      </c>
      <c r="E103" s="191" t="s">
        <v>1076</v>
      </c>
      <c r="F103" s="191" t="s">
        <v>668</v>
      </c>
      <c r="G103" s="191" t="s">
        <v>1080</v>
      </c>
    </row>
    <row r="104" spans="1:7" ht="149.25" thickBot="1">
      <c r="A104" s="191" t="s">
        <v>150</v>
      </c>
      <c r="B104" s="191" t="s">
        <v>665</v>
      </c>
      <c r="C104" s="191" t="s">
        <v>1081</v>
      </c>
      <c r="D104" s="191" t="s">
        <v>1082</v>
      </c>
      <c r="E104" s="191" t="s">
        <v>1076</v>
      </c>
      <c r="F104" s="191" t="s">
        <v>668</v>
      </c>
      <c r="G104" s="191" t="s">
        <v>1083</v>
      </c>
    </row>
    <row r="105" spans="1:7" ht="215.25" thickBot="1">
      <c r="A105" s="191" t="s">
        <v>150</v>
      </c>
      <c r="B105" s="191" t="s">
        <v>665</v>
      </c>
      <c r="C105" s="191" t="s">
        <v>1084</v>
      </c>
      <c r="D105" s="191" t="s">
        <v>1085</v>
      </c>
      <c r="E105" s="191" t="s">
        <v>1086</v>
      </c>
      <c r="F105" s="191" t="s">
        <v>668</v>
      </c>
      <c r="G105" s="191" t="s">
        <v>1087</v>
      </c>
    </row>
    <row r="106" spans="1:7" ht="165.75" thickBot="1">
      <c r="A106" s="191" t="s">
        <v>150</v>
      </c>
      <c r="B106" s="191" t="s">
        <v>665</v>
      </c>
      <c r="C106" s="191" t="s">
        <v>1088</v>
      </c>
      <c r="D106" s="191" t="s">
        <v>904</v>
      </c>
      <c r="E106" s="191" t="s">
        <v>904</v>
      </c>
      <c r="F106" s="191" t="s">
        <v>904</v>
      </c>
      <c r="G106" s="191" t="s">
        <v>1089</v>
      </c>
    </row>
    <row r="107" spans="1:7" ht="149.25" thickBot="1">
      <c r="A107" s="191" t="s">
        <v>179</v>
      </c>
      <c r="B107" s="191" t="s">
        <v>629</v>
      </c>
      <c r="C107" s="191" t="s">
        <v>1090</v>
      </c>
      <c r="D107" s="191" t="s">
        <v>1091</v>
      </c>
      <c r="E107" s="191" t="s">
        <v>1092</v>
      </c>
      <c r="F107" s="191" t="s">
        <v>668</v>
      </c>
      <c r="G107" s="191" t="s">
        <v>1093</v>
      </c>
    </row>
    <row r="108" spans="1:7" ht="149.25" thickBot="1">
      <c r="A108" s="191" t="s">
        <v>179</v>
      </c>
      <c r="B108" s="191" t="s">
        <v>629</v>
      </c>
      <c r="C108" s="191" t="s">
        <v>1094</v>
      </c>
      <c r="D108" s="191" t="s">
        <v>1095</v>
      </c>
      <c r="E108" s="191" t="s">
        <v>1092</v>
      </c>
      <c r="F108" s="191" t="s">
        <v>668</v>
      </c>
      <c r="G108" s="191" t="s">
        <v>1096</v>
      </c>
    </row>
    <row r="109" spans="1:7" ht="182.25" thickBot="1">
      <c r="A109" s="191" t="s">
        <v>179</v>
      </c>
      <c r="B109" s="191" t="s">
        <v>629</v>
      </c>
      <c r="C109" s="191" t="s">
        <v>1097</v>
      </c>
      <c r="D109" s="191" t="s">
        <v>1098</v>
      </c>
      <c r="E109" s="191" t="s">
        <v>1092</v>
      </c>
      <c r="F109" s="191" t="s">
        <v>668</v>
      </c>
      <c r="G109" s="191" t="s">
        <v>1099</v>
      </c>
    </row>
    <row r="110" spans="1:7" ht="149.25" thickBot="1">
      <c r="A110" s="191" t="s">
        <v>179</v>
      </c>
      <c r="B110" s="191" t="s">
        <v>629</v>
      </c>
      <c r="C110" s="191" t="s">
        <v>1100</v>
      </c>
      <c r="D110" s="191" t="s">
        <v>1101</v>
      </c>
      <c r="E110" s="191" t="s">
        <v>1092</v>
      </c>
      <c r="F110" s="191" t="s">
        <v>668</v>
      </c>
      <c r="G110" s="191" t="s">
        <v>1102</v>
      </c>
    </row>
    <row r="111" spans="1:7" ht="165.75" thickBot="1">
      <c r="A111" s="191" t="s">
        <v>179</v>
      </c>
      <c r="B111" s="191" t="s">
        <v>629</v>
      </c>
      <c r="C111" s="191" t="s">
        <v>1103</v>
      </c>
      <c r="D111" s="191" t="s">
        <v>1104</v>
      </c>
      <c r="E111" s="191" t="s">
        <v>1092</v>
      </c>
      <c r="F111" s="191" t="s">
        <v>668</v>
      </c>
      <c r="G111" s="191" t="s">
        <v>1105</v>
      </c>
    </row>
    <row r="112" spans="1:7" ht="297.75" thickBot="1">
      <c r="A112" s="191" t="s">
        <v>415</v>
      </c>
      <c r="B112" s="191" t="s">
        <v>415</v>
      </c>
      <c r="C112" s="191" t="s">
        <v>1106</v>
      </c>
      <c r="D112" s="191" t="s">
        <v>1107</v>
      </c>
      <c r="E112" s="191" t="s">
        <v>1108</v>
      </c>
      <c r="F112" s="191" t="s">
        <v>1109</v>
      </c>
      <c r="G112" s="191" t="s">
        <v>1110</v>
      </c>
    </row>
    <row r="113" spans="1:7" ht="215.25" thickBot="1">
      <c r="A113" s="191" t="s">
        <v>415</v>
      </c>
      <c r="B113" s="191" t="s">
        <v>415</v>
      </c>
      <c r="C113" s="191" t="s">
        <v>1111</v>
      </c>
      <c r="D113" s="191" t="s">
        <v>1112</v>
      </c>
      <c r="E113" s="191" t="s">
        <v>1113</v>
      </c>
      <c r="F113" s="191" t="s">
        <v>668</v>
      </c>
      <c r="G113" s="191" t="s">
        <v>1114</v>
      </c>
    </row>
    <row r="114" spans="1:7" ht="182.25" thickBot="1">
      <c r="A114" s="191" t="s">
        <v>451</v>
      </c>
      <c r="B114" s="191" t="s">
        <v>669</v>
      </c>
      <c r="C114" s="191" t="s">
        <v>1115</v>
      </c>
      <c r="D114" s="191" t="s">
        <v>1116</v>
      </c>
      <c r="E114" s="191" t="s">
        <v>1117</v>
      </c>
      <c r="F114" s="191" t="s">
        <v>668</v>
      </c>
      <c r="G114" s="191" t="s">
        <v>1118</v>
      </c>
    </row>
    <row r="115" spans="1:7" ht="165.75" thickBot="1">
      <c r="A115" s="191" t="s">
        <v>486</v>
      </c>
      <c r="B115" s="191" t="s">
        <v>649</v>
      </c>
      <c r="C115" s="191" t="s">
        <v>1119</v>
      </c>
      <c r="D115" s="191" t="s">
        <v>1120</v>
      </c>
      <c r="E115" s="191" t="s">
        <v>1121</v>
      </c>
      <c r="F115" s="191" t="s">
        <v>668</v>
      </c>
      <c r="G115" s="191" t="s">
        <v>1122</v>
      </c>
    </row>
    <row r="116" spans="1:7" ht="231.75" thickBot="1">
      <c r="A116" s="191" t="s">
        <v>374</v>
      </c>
      <c r="B116" s="191" t="s">
        <v>652</v>
      </c>
      <c r="C116" s="191" t="s">
        <v>1119</v>
      </c>
      <c r="D116" s="191" t="s">
        <v>1123</v>
      </c>
      <c r="E116" s="191" t="s">
        <v>1124</v>
      </c>
      <c r="F116" s="191" t="s">
        <v>668</v>
      </c>
      <c r="G116" s="191" t="s">
        <v>1125</v>
      </c>
    </row>
    <row r="117" spans="1:7" ht="248.25" thickBot="1">
      <c r="A117" s="191" t="s">
        <v>183</v>
      </c>
      <c r="B117" s="191" t="s">
        <v>655</v>
      </c>
      <c r="C117" s="191" t="s">
        <v>1126</v>
      </c>
      <c r="D117" s="191" t="s">
        <v>1127</v>
      </c>
      <c r="E117" s="191" t="s">
        <v>1128</v>
      </c>
      <c r="F117" s="191" t="s">
        <v>668</v>
      </c>
      <c r="G117" s="191" t="s">
        <v>1129</v>
      </c>
    </row>
    <row r="118" spans="1:7" ht="215.25" thickBot="1">
      <c r="A118" s="191" t="s">
        <v>175</v>
      </c>
      <c r="B118" s="191" t="s">
        <v>678</v>
      </c>
      <c r="C118" s="191" t="s">
        <v>1130</v>
      </c>
      <c r="D118" s="191" t="s">
        <v>1131</v>
      </c>
      <c r="E118" s="191" t="s">
        <v>1132</v>
      </c>
      <c r="F118" s="191" t="s">
        <v>668</v>
      </c>
      <c r="G118" s="191" t="s">
        <v>1133</v>
      </c>
    </row>
    <row r="119" spans="1:7" ht="215.25" thickBot="1">
      <c r="A119" s="191" t="s">
        <v>175</v>
      </c>
      <c r="B119" s="191" t="s">
        <v>678</v>
      </c>
      <c r="C119" s="191" t="s">
        <v>1134</v>
      </c>
      <c r="D119" s="191" t="s">
        <v>1135</v>
      </c>
      <c r="E119" s="191" t="s">
        <v>1136</v>
      </c>
      <c r="F119" s="191" t="s">
        <v>668</v>
      </c>
      <c r="G119" s="191" t="s">
        <v>1137</v>
      </c>
    </row>
    <row r="120" spans="1:7" ht="33.75" thickBot="1">
      <c r="A120" s="190" t="s">
        <v>1138</v>
      </c>
      <c r="B120" s="190" t="s">
        <v>559</v>
      </c>
      <c r="C120" s="190" t="s">
        <v>850</v>
      </c>
      <c r="D120" s="190" t="s">
        <v>596</v>
      </c>
      <c r="E120" s="190" t="s">
        <v>851</v>
      </c>
      <c r="F120" s="190" t="s">
        <v>598</v>
      </c>
      <c r="G120" s="190" t="s">
        <v>599</v>
      </c>
    </row>
    <row r="121" spans="1:7" ht="182.25" thickBot="1">
      <c r="A121" s="191" t="s">
        <v>800</v>
      </c>
      <c r="B121" s="191" t="s">
        <v>808</v>
      </c>
      <c r="C121" s="191" t="s">
        <v>1139</v>
      </c>
      <c r="D121" s="191" t="s">
        <v>1140</v>
      </c>
      <c r="E121" s="191" t="s">
        <v>1141</v>
      </c>
      <c r="F121" s="191" t="s">
        <v>1001</v>
      </c>
      <c r="G121" s="191" t="s">
        <v>1142</v>
      </c>
    </row>
    <row r="122" spans="1:7" ht="182.25" thickBot="1">
      <c r="A122" s="191" t="s">
        <v>800</v>
      </c>
      <c r="B122" s="191" t="s">
        <v>808</v>
      </c>
      <c r="C122" s="191" t="s">
        <v>1143</v>
      </c>
      <c r="D122" s="191" t="s">
        <v>1144</v>
      </c>
      <c r="E122" s="191" t="s">
        <v>1145</v>
      </c>
      <c r="F122" s="191" t="s">
        <v>668</v>
      </c>
      <c r="G122" s="191" t="s">
        <v>1146</v>
      </c>
    </row>
    <row r="123" spans="1:7" ht="132.75" thickBot="1">
      <c r="A123" s="191" t="s">
        <v>800</v>
      </c>
      <c r="B123" s="191" t="s">
        <v>810</v>
      </c>
      <c r="C123" s="191" t="s">
        <v>914</v>
      </c>
      <c r="D123" s="191" t="s">
        <v>904</v>
      </c>
      <c r="E123" s="191" t="s">
        <v>904</v>
      </c>
      <c r="F123" s="191" t="s">
        <v>904</v>
      </c>
      <c r="G123" s="191" t="s">
        <v>1147</v>
      </c>
    </row>
    <row r="124" spans="1:7" ht="165.75" thickBot="1">
      <c r="A124" s="191" t="s">
        <v>800</v>
      </c>
      <c r="B124" s="191" t="s">
        <v>812</v>
      </c>
      <c r="C124" s="191" t="s">
        <v>1148</v>
      </c>
      <c r="D124" s="191" t="s">
        <v>1149</v>
      </c>
      <c r="E124" s="191" t="s">
        <v>1150</v>
      </c>
      <c r="F124" s="191" t="s">
        <v>668</v>
      </c>
      <c r="G124" s="191" t="s">
        <v>1151</v>
      </c>
    </row>
    <row r="125" spans="1:7" ht="231.75" thickBot="1">
      <c r="A125" s="191" t="s">
        <v>800</v>
      </c>
      <c r="B125" s="191" t="s">
        <v>814</v>
      </c>
      <c r="C125" s="191" t="s">
        <v>1152</v>
      </c>
      <c r="D125" s="191" t="s">
        <v>1153</v>
      </c>
      <c r="E125" s="191" t="s">
        <v>1154</v>
      </c>
      <c r="F125" s="191" t="s">
        <v>622</v>
      </c>
      <c r="G125" s="191" t="s">
        <v>1155</v>
      </c>
    </row>
    <row r="126" spans="1:7" ht="264.75" thickBot="1">
      <c r="A126" s="191" t="s">
        <v>800</v>
      </c>
      <c r="B126" s="191" t="s">
        <v>817</v>
      </c>
      <c r="C126" s="191" t="s">
        <v>1156</v>
      </c>
      <c r="D126" s="191" t="s">
        <v>1157</v>
      </c>
      <c r="E126" s="191" t="s">
        <v>1158</v>
      </c>
      <c r="F126" s="191" t="s">
        <v>622</v>
      </c>
      <c r="G126" s="191" t="s">
        <v>1159</v>
      </c>
    </row>
    <row r="127" spans="1:7" ht="231.75" thickBot="1">
      <c r="A127" s="191" t="s">
        <v>800</v>
      </c>
      <c r="B127" s="191" t="s">
        <v>818</v>
      </c>
      <c r="C127" s="191" t="s">
        <v>1160</v>
      </c>
      <c r="D127" s="191" t="s">
        <v>1161</v>
      </c>
      <c r="E127" s="191" t="s">
        <v>1162</v>
      </c>
      <c r="F127" s="191" t="s">
        <v>622</v>
      </c>
      <c r="G127" s="191" t="s">
        <v>1163</v>
      </c>
    </row>
    <row r="128" spans="1:7" ht="264.75" thickBot="1">
      <c r="A128" s="191" t="s">
        <v>800</v>
      </c>
      <c r="B128" s="191" t="s">
        <v>822</v>
      </c>
      <c r="C128" s="191" t="s">
        <v>1164</v>
      </c>
      <c r="D128" s="191" t="s">
        <v>1165</v>
      </c>
      <c r="E128" s="191" t="s">
        <v>1166</v>
      </c>
      <c r="F128" s="191" t="s">
        <v>1001</v>
      </c>
      <c r="G128" s="191" t="s">
        <v>1167</v>
      </c>
    </row>
    <row r="129" spans="1:7" ht="264.75" thickBot="1">
      <c r="A129" s="191" t="s">
        <v>800</v>
      </c>
      <c r="B129" s="191" t="s">
        <v>823</v>
      </c>
      <c r="C129" s="191" t="s">
        <v>1168</v>
      </c>
      <c r="D129" s="191" t="s">
        <v>1169</v>
      </c>
      <c r="E129" s="191" t="s">
        <v>1170</v>
      </c>
      <c r="F129" s="191" t="s">
        <v>668</v>
      </c>
      <c r="G129" s="191" t="s">
        <v>1171</v>
      </c>
    </row>
    <row r="130" spans="1:7" ht="314.25" thickBot="1">
      <c r="A130" s="191" t="s">
        <v>800</v>
      </c>
      <c r="B130" s="191" t="s">
        <v>824</v>
      </c>
      <c r="C130" s="191" t="s">
        <v>1172</v>
      </c>
      <c r="D130" s="191" t="s">
        <v>1173</v>
      </c>
      <c r="E130" s="191" t="s">
        <v>1174</v>
      </c>
      <c r="F130" s="191" t="s">
        <v>1001</v>
      </c>
      <c r="G130" s="191" t="s">
        <v>1175</v>
      </c>
    </row>
    <row r="131" spans="1:7" ht="215.25" thickBot="1">
      <c r="A131" s="191" t="s">
        <v>800</v>
      </c>
      <c r="B131" s="191" t="s">
        <v>828</v>
      </c>
      <c r="C131" s="191" t="s">
        <v>1176</v>
      </c>
      <c r="D131" s="191" t="s">
        <v>1177</v>
      </c>
      <c r="E131" s="191" t="s">
        <v>904</v>
      </c>
      <c r="F131" s="191" t="s">
        <v>668</v>
      </c>
      <c r="G131" s="191" t="s">
        <v>1178</v>
      </c>
    </row>
    <row r="132" spans="1:7" ht="231.75" thickBot="1">
      <c r="A132" s="191" t="s">
        <v>800</v>
      </c>
      <c r="B132" s="191" t="s">
        <v>831</v>
      </c>
      <c r="C132" s="191" t="s">
        <v>1179</v>
      </c>
      <c r="D132" s="191" t="s">
        <v>1180</v>
      </c>
      <c r="E132" s="191" t="s">
        <v>904</v>
      </c>
      <c r="F132" s="191" t="s">
        <v>904</v>
      </c>
      <c r="G132" s="191" t="s">
        <v>1181</v>
      </c>
    </row>
    <row r="133" spans="1:7" ht="231.75" thickBot="1">
      <c r="A133" s="191" t="s">
        <v>800</v>
      </c>
      <c r="B133" s="191" t="s">
        <v>832</v>
      </c>
      <c r="C133" s="191" t="s">
        <v>1182</v>
      </c>
      <c r="D133" s="191" t="s">
        <v>1183</v>
      </c>
      <c r="E133" s="191" t="s">
        <v>904</v>
      </c>
      <c r="F133" s="191" t="s">
        <v>668</v>
      </c>
      <c r="G133" s="191" t="s">
        <v>1184</v>
      </c>
    </row>
    <row r="134" spans="1:7" ht="215.25" thickBot="1">
      <c r="A134" s="191" t="s">
        <v>800</v>
      </c>
      <c r="B134" s="191" t="s">
        <v>1185</v>
      </c>
      <c r="C134" s="191" t="s">
        <v>1186</v>
      </c>
      <c r="D134" s="191" t="s">
        <v>1187</v>
      </c>
      <c r="E134" s="191" t="s">
        <v>904</v>
      </c>
      <c r="F134" s="191" t="s">
        <v>904</v>
      </c>
      <c r="G134" s="191" t="s">
        <v>1188</v>
      </c>
    </row>
    <row r="135" spans="1:7" ht="314.25" thickBot="1">
      <c r="A135" s="191" t="s">
        <v>800</v>
      </c>
      <c r="B135" s="191" t="s">
        <v>834</v>
      </c>
      <c r="C135" s="191" t="s">
        <v>1189</v>
      </c>
      <c r="D135" s="191" t="s">
        <v>1190</v>
      </c>
      <c r="E135" s="191" t="s">
        <v>1191</v>
      </c>
      <c r="F135" s="191" t="s">
        <v>1001</v>
      </c>
      <c r="G135" s="191" t="s">
        <v>1192</v>
      </c>
    </row>
    <row r="136" spans="1:7" ht="215.25" thickBot="1">
      <c r="A136" s="191" t="s">
        <v>800</v>
      </c>
      <c r="B136" s="191" t="s">
        <v>835</v>
      </c>
      <c r="C136" s="191" t="s">
        <v>1193</v>
      </c>
      <c r="D136" s="191" t="s">
        <v>1194</v>
      </c>
      <c r="E136" s="191" t="s">
        <v>1195</v>
      </c>
      <c r="F136" s="191" t="s">
        <v>622</v>
      </c>
      <c r="G136" s="191" t="s">
        <v>1196</v>
      </c>
    </row>
    <row r="137" spans="1:7" ht="198.75" thickBot="1">
      <c r="A137" s="191" t="s">
        <v>800</v>
      </c>
      <c r="B137" s="191" t="s">
        <v>837</v>
      </c>
      <c r="C137" s="191" t="s">
        <v>1197</v>
      </c>
      <c r="D137" s="191" t="s">
        <v>1198</v>
      </c>
      <c r="E137" s="191" t="s">
        <v>904</v>
      </c>
      <c r="F137" s="191" t="s">
        <v>904</v>
      </c>
      <c r="G137" s="191" t="s">
        <v>1199</v>
      </c>
    </row>
    <row r="138" spans="1:7" ht="215.25" thickBot="1">
      <c r="A138" s="191" t="s">
        <v>800</v>
      </c>
      <c r="B138" s="191" t="s">
        <v>838</v>
      </c>
      <c r="C138" s="191" t="s">
        <v>1200</v>
      </c>
      <c r="D138" s="191" t="s">
        <v>1201</v>
      </c>
      <c r="E138" s="191" t="s">
        <v>904</v>
      </c>
      <c r="F138" s="191" t="s">
        <v>668</v>
      </c>
      <c r="G138" s="191" t="s">
        <v>1202</v>
      </c>
    </row>
    <row r="139" spans="1:7" ht="198.75" thickBot="1">
      <c r="A139" s="191" t="s">
        <v>800</v>
      </c>
      <c r="B139" s="191" t="s">
        <v>840</v>
      </c>
      <c r="C139" s="191" t="s">
        <v>1203</v>
      </c>
      <c r="D139" s="191" t="s">
        <v>1204</v>
      </c>
      <c r="E139" s="191" t="s">
        <v>904</v>
      </c>
      <c r="F139" s="191" t="s">
        <v>622</v>
      </c>
      <c r="G139" s="191" t="s">
        <v>1205</v>
      </c>
    </row>
    <row r="140" spans="1:7" ht="409.6" thickBot="1">
      <c r="A140" s="191" t="s">
        <v>800</v>
      </c>
      <c r="B140" s="191" t="s">
        <v>1206</v>
      </c>
      <c r="C140" s="191" t="s">
        <v>1207</v>
      </c>
      <c r="D140" s="191" t="s">
        <v>1208</v>
      </c>
      <c r="E140" s="191" t="s">
        <v>1209</v>
      </c>
      <c r="F140" s="191" t="s">
        <v>622</v>
      </c>
      <c r="G140" s="191" t="s">
        <v>1210</v>
      </c>
    </row>
    <row r="141" spans="1:7" ht="231.75" thickBot="1">
      <c r="A141" s="191" t="s">
        <v>800</v>
      </c>
      <c r="B141" s="191" t="s">
        <v>843</v>
      </c>
      <c r="C141" s="191" t="s">
        <v>1211</v>
      </c>
      <c r="D141" s="191" t="s">
        <v>1212</v>
      </c>
      <c r="E141" s="191" t="s">
        <v>1213</v>
      </c>
      <c r="F141" s="191" t="s">
        <v>622</v>
      </c>
      <c r="G141" s="191" t="s">
        <v>1214</v>
      </c>
    </row>
  </sheetData>
  <autoFilter ref="A1:G141" xr:uid="{3B7B9730-CF7C-4436-BC5B-277DA48BAD0C}">
    <filterColumn colId="1">
      <filters blank="1">
        <filter val="Agricultural Services Database (OWNED BY WAM) Integration (WAM application)"/>
        <filter val="Appliance Service Plan (ASP) Integration"/>
        <filter val="ASP sales &amp; repair"/>
        <filter val="Business Center Warehouse (BCW) Integration"/>
        <filter val="Business eBill"/>
        <filter val="C&amp;I DR NOC Reporting DRMS"/>
        <filter val="CCC Surveys Integration"/>
        <filter val="Collections Integration"/>
        <filter val="COMET MS Dynamics"/>
        <filter val="Communication Management Platform"/>
        <filter val="Consumers Web Site/Sitecore ce.com"/>
        <filter val="CRM7 (needed for Release 1)"/>
        <filter val="CSSO Portal"/>
        <filter val="Customer Calling Vendor (dunning) Integration"/>
        <filter val="Customer Payments (CA_INT_240) Integration"/>
        <filter val="Customer Payments Integration"/>
        <filter val="Customer Portal Admin"/>
        <filter val="Customer Programs Integration"/>
        <filter val="DEGREE DAYS.net API Basic"/>
        <filter val="DPO Bill Stub Scanner Integration"/>
        <filter val="DPO Receipt Printer Integration"/>
        <filter val="EAM Dashboard"/>
        <filter val="EE Rebate (to/from ICF or Nucleus) Integration"/>
        <filter val="EMMAx SAP Add-On in ECC"/>
        <filter val="Energy Usage Dashboard"/>
        <filter val="EWR Master Customer Extract"/>
        <filter val="FACTA"/>
        <filter val="FI to CCS Sales Tax Extract Integration"/>
        <filter val="ForestryWISE"/>
        <filter val="Home Energy Analysis (HER) Reporting Integration"/>
        <filter val="iSchedule"/>
        <filter val="IVR System (Telephony Integration)"/>
        <filter val="Landlord Portal LLP"/>
        <filter val="Large Customer Rate Tool"/>
        <filter val="LIHEAP Payments (CA_INT_140) Integration"/>
        <filter val="Mobile Phone Application (Apollo)"/>
        <filter val="My Energy Analyzer"/>
        <filter val="NCOA Integration"/>
        <filter val="OT (OWCE, DRMS)"/>
        <filter val="Paymentus"/>
        <filter val="PowerMI Drive Integration"/>
        <filter val="PowerMI Drive; Interconnections/PowerClerk"/>
        <filter val="Product/Application Name"/>
        <filter val="SEEload-DRMS software"/>
        <filter val="State Emergency Relief Fund (SER) Integration"/>
        <filter val="STP (Smart Thermostat) &amp; Home Energy Analysis (HER) Reporting Integration"/>
        <filter val="STP (Smart Thermostat) Integration"/>
        <filter val="Streetlight Outage Application SOAR"/>
        <filter val="Support vendor for Genesys &amp; Click to Chat-Texting from IVR Integration"/>
        <filter val="Theft Analytics/Theft Workbench"/>
        <filter val="Third-Party Contact Center (Collections)"/>
        <filter val="Two-Way Customer Communication (2WCC)"/>
      </filters>
    </filterColumn>
  </autoFilter>
  <mergeCells count="12">
    <mergeCell ref="G45:G49"/>
    <mergeCell ref="A37:A42"/>
    <mergeCell ref="B37:B42"/>
    <mergeCell ref="C37:C42"/>
    <mergeCell ref="E37:E42"/>
    <mergeCell ref="F37:F42"/>
    <mergeCell ref="G37:G42"/>
    <mergeCell ref="A45:A49"/>
    <mergeCell ref="B45:B49"/>
    <mergeCell ref="C45:C49"/>
    <mergeCell ref="E45:E49"/>
    <mergeCell ref="F45:F49"/>
  </mergeCells>
  <hyperlinks>
    <hyperlink ref="E2" r:id="rId1" xr:uid="{F36086DF-5B1F-425E-A1EB-CEF6DAD69E62}"/>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149A0-BA1F-4D28-885D-B3F5C7326692}">
  <dimension ref="A1:G231"/>
  <sheetViews>
    <sheetView topLeftCell="B214" zoomScale="85" zoomScaleNormal="85" workbookViewId="0">
      <selection activeCell="A167" sqref="A167"/>
    </sheetView>
  </sheetViews>
  <sheetFormatPr defaultColWidth="55.7109375" defaultRowHeight="15"/>
  <cols>
    <col min="1" max="1" width="37.42578125" bestFit="1" customWidth="1"/>
    <col min="2" max="2" width="36.85546875" bestFit="1" customWidth="1"/>
    <col min="3" max="3" width="54.7109375" bestFit="1" customWidth="1"/>
    <col min="5" max="5" width="55.5703125" bestFit="1" customWidth="1"/>
    <col min="7" max="7" width="45.140625" bestFit="1" customWidth="1"/>
    <col min="8" max="8" width="26.28515625" bestFit="1" customWidth="1"/>
    <col min="9" max="9" width="49" bestFit="1" customWidth="1"/>
    <col min="10" max="10" width="16.140625" bestFit="1" customWidth="1"/>
  </cols>
  <sheetData>
    <row r="1" spans="1:7" ht="33.75" thickBot="1">
      <c r="A1" s="190" t="s">
        <v>0</v>
      </c>
      <c r="B1" s="190" t="s">
        <v>559</v>
      </c>
      <c r="C1" s="190" t="s">
        <v>850</v>
      </c>
      <c r="D1" s="190" t="s">
        <v>596</v>
      </c>
      <c r="E1" s="190" t="s">
        <v>851</v>
      </c>
      <c r="F1" s="190" t="s">
        <v>598</v>
      </c>
      <c r="G1" s="190" t="s">
        <v>599</v>
      </c>
    </row>
    <row r="2" spans="1:7" ht="50.25" thickBot="1">
      <c r="A2" s="191" t="s">
        <v>98</v>
      </c>
      <c r="B2" s="191" t="s">
        <v>99</v>
      </c>
      <c r="C2" s="191" t="s">
        <v>914</v>
      </c>
      <c r="D2" s="191" t="s">
        <v>904</v>
      </c>
      <c r="E2" s="191" t="s">
        <v>904</v>
      </c>
      <c r="F2" s="191" t="s">
        <v>904</v>
      </c>
      <c r="G2" s="191" t="s">
        <v>1215</v>
      </c>
    </row>
    <row r="3" spans="1:7" ht="281.25" thickBot="1">
      <c r="A3" s="191" t="s">
        <v>98</v>
      </c>
      <c r="B3" s="191" t="s">
        <v>102</v>
      </c>
      <c r="C3" s="191" t="s">
        <v>1216</v>
      </c>
      <c r="D3" s="191" t="s">
        <v>1217</v>
      </c>
      <c r="E3" s="191" t="s">
        <v>1218</v>
      </c>
      <c r="F3" s="191" t="s">
        <v>1001</v>
      </c>
      <c r="G3" s="191" t="s">
        <v>1219</v>
      </c>
    </row>
    <row r="4" spans="1:7" ht="182.25" thickBot="1">
      <c r="A4" s="191" t="s">
        <v>98</v>
      </c>
      <c r="B4" s="191" t="s">
        <v>105</v>
      </c>
      <c r="C4" s="191" t="s">
        <v>1220</v>
      </c>
      <c r="D4" s="191" t="s">
        <v>1221</v>
      </c>
      <c r="E4" s="191" t="s">
        <v>1218</v>
      </c>
      <c r="F4" s="191" t="s">
        <v>1001</v>
      </c>
      <c r="G4" s="191" t="s">
        <v>1222</v>
      </c>
    </row>
    <row r="5" spans="1:7" ht="297.75" thickBot="1">
      <c r="A5" s="191" t="s">
        <v>98</v>
      </c>
      <c r="B5" s="191" t="s">
        <v>105</v>
      </c>
      <c r="C5" s="191" t="s">
        <v>1223</v>
      </c>
      <c r="D5" s="191" t="s">
        <v>1224</v>
      </c>
      <c r="E5" s="191" t="s">
        <v>1218</v>
      </c>
      <c r="F5" s="191" t="s">
        <v>1001</v>
      </c>
      <c r="G5" s="191" t="s">
        <v>1225</v>
      </c>
    </row>
    <row r="6" spans="1:7" ht="297.75" thickBot="1">
      <c r="A6" s="191" t="s">
        <v>98</v>
      </c>
      <c r="B6" s="191" t="s">
        <v>105</v>
      </c>
      <c r="C6" s="191" t="s">
        <v>1226</v>
      </c>
      <c r="D6" s="191" t="s">
        <v>1227</v>
      </c>
      <c r="E6" s="191" t="s">
        <v>1218</v>
      </c>
      <c r="F6" s="191" t="s">
        <v>1001</v>
      </c>
      <c r="G6" s="191" t="s">
        <v>1228</v>
      </c>
    </row>
    <row r="7" spans="1:7" ht="182.25" thickBot="1">
      <c r="A7" s="191" t="s">
        <v>98</v>
      </c>
      <c r="B7" s="191" t="s">
        <v>105</v>
      </c>
      <c r="C7" s="191" t="s">
        <v>1229</v>
      </c>
      <c r="D7" s="191" t="s">
        <v>1230</v>
      </c>
      <c r="E7" s="191" t="s">
        <v>1218</v>
      </c>
      <c r="F7" s="191" t="s">
        <v>1001</v>
      </c>
      <c r="G7" s="191" t="s">
        <v>1231</v>
      </c>
    </row>
    <row r="8" spans="1:7" ht="83.25" thickBot="1">
      <c r="A8" s="191" t="s">
        <v>98</v>
      </c>
      <c r="B8" s="191" t="s">
        <v>103</v>
      </c>
      <c r="C8" s="191" t="s">
        <v>914</v>
      </c>
      <c r="D8" s="191" t="s">
        <v>904</v>
      </c>
      <c r="E8" s="191" t="s">
        <v>904</v>
      </c>
      <c r="F8" s="191" t="s">
        <v>904</v>
      </c>
      <c r="G8" s="191" t="s">
        <v>1232</v>
      </c>
    </row>
    <row r="9" spans="1:7" ht="66.75" thickBot="1">
      <c r="A9" s="191" t="s">
        <v>98</v>
      </c>
      <c r="B9" s="191" t="s">
        <v>104</v>
      </c>
      <c r="C9" s="191" t="s">
        <v>914</v>
      </c>
      <c r="D9" s="191" t="s">
        <v>904</v>
      </c>
      <c r="E9" s="191" t="s">
        <v>904</v>
      </c>
      <c r="F9" s="191" t="s">
        <v>904</v>
      </c>
      <c r="G9" s="191" t="s">
        <v>1233</v>
      </c>
    </row>
    <row r="10" spans="1:7" ht="347.25" thickBot="1">
      <c r="A10" s="191" t="s">
        <v>98</v>
      </c>
      <c r="B10" s="191" t="s">
        <v>105</v>
      </c>
      <c r="C10" s="191" t="s">
        <v>1234</v>
      </c>
      <c r="D10" s="191" t="s">
        <v>1235</v>
      </c>
      <c r="E10" s="191" t="s">
        <v>1236</v>
      </c>
      <c r="F10" s="191" t="s">
        <v>1237</v>
      </c>
      <c r="G10" s="191" t="s">
        <v>1238</v>
      </c>
    </row>
    <row r="11" spans="1:7" ht="66.75" thickBot="1">
      <c r="A11" s="191" t="s">
        <v>98</v>
      </c>
      <c r="B11" s="191" t="s">
        <v>1239</v>
      </c>
      <c r="C11" s="191" t="s">
        <v>914</v>
      </c>
      <c r="D11" s="191" t="s">
        <v>904</v>
      </c>
      <c r="E11" s="191" t="s">
        <v>904</v>
      </c>
      <c r="F11" s="191" t="s">
        <v>904</v>
      </c>
      <c r="G11" s="191" t="s">
        <v>1240</v>
      </c>
    </row>
    <row r="12" spans="1:7" ht="264.75" thickBot="1">
      <c r="A12" s="191" t="s">
        <v>358</v>
      </c>
      <c r="B12" s="191" t="s">
        <v>406</v>
      </c>
      <c r="C12" s="191" t="s">
        <v>1241</v>
      </c>
      <c r="D12" s="191" t="s">
        <v>1242</v>
      </c>
      <c r="E12" s="191" t="s">
        <v>1243</v>
      </c>
      <c r="F12" s="191" t="s">
        <v>1244</v>
      </c>
      <c r="G12" s="191"/>
    </row>
    <row r="13" spans="1:7" ht="66.75" thickBot="1">
      <c r="A13" s="191" t="s">
        <v>358</v>
      </c>
      <c r="B13" s="191" t="s">
        <v>406</v>
      </c>
      <c r="C13" s="191" t="s">
        <v>1245</v>
      </c>
      <c r="D13" s="191" t="s">
        <v>1246</v>
      </c>
      <c r="E13" s="191" t="s">
        <v>1247</v>
      </c>
      <c r="F13" s="191" t="s">
        <v>1248</v>
      </c>
      <c r="G13" s="191"/>
    </row>
    <row r="14" spans="1:7" ht="165.75" thickBot="1">
      <c r="A14" s="191" t="s">
        <v>358</v>
      </c>
      <c r="B14" s="191" t="s">
        <v>406</v>
      </c>
      <c r="C14" s="191" t="s">
        <v>1249</v>
      </c>
      <c r="D14" s="191" t="s">
        <v>1250</v>
      </c>
      <c r="E14" s="191" t="s">
        <v>1251</v>
      </c>
      <c r="F14" s="191" t="s">
        <v>1252</v>
      </c>
      <c r="G14" s="191"/>
    </row>
    <row r="15" spans="1:7" ht="33.75" thickBot="1">
      <c r="A15" s="191" t="s">
        <v>358</v>
      </c>
      <c r="B15" s="191" t="s">
        <v>1253</v>
      </c>
      <c r="C15" s="191" t="s">
        <v>914</v>
      </c>
      <c r="D15" s="191" t="s">
        <v>904</v>
      </c>
      <c r="E15" s="191" t="s">
        <v>904</v>
      </c>
      <c r="F15" s="191" t="s">
        <v>904</v>
      </c>
      <c r="G15" s="191" t="s">
        <v>1254</v>
      </c>
    </row>
    <row r="16" spans="1:7" ht="83.25" thickBot="1">
      <c r="A16" s="191" t="s">
        <v>358</v>
      </c>
      <c r="B16" s="191" t="s">
        <v>359</v>
      </c>
      <c r="C16" s="191" t="s">
        <v>1255</v>
      </c>
      <c r="D16" s="191" t="s">
        <v>1256</v>
      </c>
      <c r="E16" s="191" t="s">
        <v>1257</v>
      </c>
      <c r="F16" s="191" t="s">
        <v>1258</v>
      </c>
      <c r="G16" s="191" t="s">
        <v>1259</v>
      </c>
    </row>
    <row r="17" spans="1:7" ht="132.75" thickBot="1">
      <c r="A17" s="191" t="s">
        <v>358</v>
      </c>
      <c r="B17" s="191" t="s">
        <v>410</v>
      </c>
      <c r="C17" s="191" t="s">
        <v>914</v>
      </c>
      <c r="D17" s="191" t="s">
        <v>904</v>
      </c>
      <c r="E17" s="191" t="s">
        <v>904</v>
      </c>
      <c r="F17" s="191" t="s">
        <v>904</v>
      </c>
      <c r="G17" s="191" t="s">
        <v>1260</v>
      </c>
    </row>
    <row r="18" spans="1:7" ht="314.25" thickBot="1">
      <c r="A18" s="191" t="s">
        <v>358</v>
      </c>
      <c r="B18" s="191" t="s">
        <v>1261</v>
      </c>
      <c r="C18" s="191" t="s">
        <v>1262</v>
      </c>
      <c r="D18" s="191" t="s">
        <v>1263</v>
      </c>
      <c r="E18" s="191" t="s">
        <v>1264</v>
      </c>
      <c r="F18" s="191" t="s">
        <v>1265</v>
      </c>
      <c r="G18" s="191" t="s">
        <v>1266</v>
      </c>
    </row>
    <row r="19" spans="1:7" ht="314.25" thickBot="1">
      <c r="A19" s="191" t="s">
        <v>85</v>
      </c>
      <c r="B19" s="191" t="s">
        <v>85</v>
      </c>
      <c r="C19" s="191" t="s">
        <v>1267</v>
      </c>
      <c r="D19" s="191" t="s">
        <v>1268</v>
      </c>
      <c r="E19" s="191" t="s">
        <v>1269</v>
      </c>
      <c r="F19" s="191" t="s">
        <v>1270</v>
      </c>
      <c r="G19" s="191" t="s">
        <v>1271</v>
      </c>
    </row>
    <row r="20" spans="1:7" ht="99.75" thickBot="1">
      <c r="A20" s="191" t="s">
        <v>1272</v>
      </c>
      <c r="B20" s="191" t="s">
        <v>323</v>
      </c>
      <c r="C20" s="191" t="s">
        <v>914</v>
      </c>
      <c r="D20" s="191" t="s">
        <v>904</v>
      </c>
      <c r="E20" s="191" t="s">
        <v>904</v>
      </c>
      <c r="F20" s="191" t="s">
        <v>904</v>
      </c>
      <c r="G20" s="191" t="s">
        <v>1273</v>
      </c>
    </row>
    <row r="21" spans="1:7" ht="182.25" thickBot="1">
      <c r="A21" s="191" t="s">
        <v>98</v>
      </c>
      <c r="B21" s="191" t="s">
        <v>106</v>
      </c>
      <c r="C21" s="191" t="s">
        <v>1274</v>
      </c>
      <c r="D21" s="191" t="s">
        <v>1275</v>
      </c>
      <c r="E21" s="191" t="s">
        <v>1276</v>
      </c>
      <c r="F21" s="191" t="s">
        <v>1277</v>
      </c>
      <c r="G21" s="191" t="s">
        <v>1278</v>
      </c>
    </row>
    <row r="22" spans="1:7" ht="215.25" thickBot="1">
      <c r="A22" s="191" t="s">
        <v>98</v>
      </c>
      <c r="B22" s="191" t="s">
        <v>106</v>
      </c>
      <c r="C22" s="191" t="s">
        <v>1279</v>
      </c>
      <c r="D22" s="191" t="s">
        <v>1280</v>
      </c>
      <c r="E22" s="191" t="s">
        <v>1276</v>
      </c>
      <c r="F22" s="191" t="s">
        <v>1281</v>
      </c>
      <c r="G22" s="191" t="s">
        <v>1282</v>
      </c>
    </row>
    <row r="23" spans="1:7" ht="297.75" thickBot="1">
      <c r="A23" s="191" t="s">
        <v>260</v>
      </c>
      <c r="B23" s="191" t="s">
        <v>1283</v>
      </c>
      <c r="C23" s="191" t="s">
        <v>1284</v>
      </c>
      <c r="D23" s="191" t="s">
        <v>1285</v>
      </c>
      <c r="E23" s="191" t="s">
        <v>1286</v>
      </c>
      <c r="F23" s="191" t="s">
        <v>1287</v>
      </c>
      <c r="G23" s="191" t="s">
        <v>1288</v>
      </c>
    </row>
    <row r="24" spans="1:7" ht="198.75" thickBot="1">
      <c r="A24" s="191" t="s">
        <v>260</v>
      </c>
      <c r="B24" s="191" t="s">
        <v>1283</v>
      </c>
      <c r="C24" s="191" t="s">
        <v>1289</v>
      </c>
      <c r="D24" s="191" t="s">
        <v>1290</v>
      </c>
      <c r="E24" s="191" t="s">
        <v>1286</v>
      </c>
      <c r="F24" s="191" t="s">
        <v>1287</v>
      </c>
      <c r="G24" s="191" t="s">
        <v>1291</v>
      </c>
    </row>
    <row r="25" spans="1:7" ht="314.25" thickBot="1">
      <c r="A25" s="191" t="s">
        <v>1292</v>
      </c>
      <c r="B25" s="191" t="s">
        <v>1293</v>
      </c>
      <c r="C25" s="191" t="s">
        <v>1294</v>
      </c>
      <c r="D25" s="191" t="s">
        <v>1295</v>
      </c>
      <c r="E25" s="191" t="s">
        <v>1296</v>
      </c>
      <c r="F25" s="191" t="s">
        <v>1297</v>
      </c>
      <c r="G25" s="191" t="s">
        <v>1298</v>
      </c>
    </row>
    <row r="26" spans="1:7" ht="33.75" thickBot="1">
      <c r="A26" s="190" t="s">
        <v>0</v>
      </c>
      <c r="B26" s="190" t="s">
        <v>559</v>
      </c>
      <c r="C26" s="190" t="s">
        <v>850</v>
      </c>
      <c r="D26" s="190" t="s">
        <v>596</v>
      </c>
      <c r="E26" s="190" t="s">
        <v>851</v>
      </c>
      <c r="F26" s="190" t="s">
        <v>598</v>
      </c>
      <c r="G26" s="190" t="s">
        <v>599</v>
      </c>
    </row>
    <row r="27" spans="1:7" ht="248.25" thickBot="1">
      <c r="A27" s="191" t="s">
        <v>358</v>
      </c>
      <c r="B27" s="191" t="s">
        <v>406</v>
      </c>
      <c r="C27" s="191" t="s">
        <v>1299</v>
      </c>
      <c r="D27" s="191" t="s">
        <v>1300</v>
      </c>
      <c r="E27" s="191" t="s">
        <v>1247</v>
      </c>
      <c r="F27" s="191" t="s">
        <v>1001</v>
      </c>
      <c r="G27" s="191" t="s">
        <v>1301</v>
      </c>
    </row>
    <row r="28" spans="1:7" ht="231.75" thickBot="1">
      <c r="A28" s="191" t="s">
        <v>358</v>
      </c>
      <c r="B28" s="191" t="s">
        <v>406</v>
      </c>
      <c r="C28" s="191" t="s">
        <v>1302</v>
      </c>
      <c r="D28" s="191" t="s">
        <v>1303</v>
      </c>
      <c r="E28" s="191" t="s">
        <v>1251</v>
      </c>
      <c r="F28" s="191" t="s">
        <v>1001</v>
      </c>
      <c r="G28" s="191" t="s">
        <v>1304</v>
      </c>
    </row>
    <row r="29" spans="1:7" ht="248.25" thickBot="1">
      <c r="A29" s="191" t="s">
        <v>358</v>
      </c>
      <c r="B29" s="191" t="s">
        <v>359</v>
      </c>
      <c r="C29" s="191" t="s">
        <v>1305</v>
      </c>
      <c r="D29" s="191" t="s">
        <v>1306</v>
      </c>
      <c r="E29" s="191" t="s">
        <v>1307</v>
      </c>
      <c r="F29" s="191" t="s">
        <v>668</v>
      </c>
      <c r="G29" s="191" t="s">
        <v>1308</v>
      </c>
    </row>
    <row r="30" spans="1:7" ht="281.25" thickBot="1">
      <c r="A30" s="191" t="s">
        <v>358</v>
      </c>
      <c r="B30" s="191" t="s">
        <v>359</v>
      </c>
      <c r="C30" s="191" t="s">
        <v>1309</v>
      </c>
      <c r="D30" s="191" t="s">
        <v>1310</v>
      </c>
      <c r="E30" s="191" t="s">
        <v>1307</v>
      </c>
      <c r="F30" s="191" t="s">
        <v>668</v>
      </c>
      <c r="G30" s="191" t="s">
        <v>1311</v>
      </c>
    </row>
    <row r="31" spans="1:7" ht="132.75" thickBot="1">
      <c r="A31" s="191" t="s">
        <v>358</v>
      </c>
      <c r="B31" s="191" t="s">
        <v>410</v>
      </c>
      <c r="C31" s="191" t="s">
        <v>914</v>
      </c>
      <c r="D31" s="191" t="s">
        <v>904</v>
      </c>
      <c r="E31" s="191" t="s">
        <v>904</v>
      </c>
      <c r="F31" s="191" t="s">
        <v>904</v>
      </c>
      <c r="G31" s="191" t="s">
        <v>1312</v>
      </c>
    </row>
    <row r="32" spans="1:7" ht="116.25" thickBot="1">
      <c r="A32" s="191" t="s">
        <v>358</v>
      </c>
      <c r="B32" s="191" t="s">
        <v>1313</v>
      </c>
      <c r="C32" s="191" t="s">
        <v>914</v>
      </c>
      <c r="D32" s="191" t="s">
        <v>904</v>
      </c>
      <c r="E32" s="191" t="s">
        <v>904</v>
      </c>
      <c r="F32" s="191" t="s">
        <v>904</v>
      </c>
      <c r="G32" s="191" t="s">
        <v>1314</v>
      </c>
    </row>
    <row r="33" spans="1:7" ht="281.25" thickBot="1">
      <c r="A33" s="191" t="s">
        <v>85</v>
      </c>
      <c r="B33" s="191" t="s">
        <v>85</v>
      </c>
      <c r="C33" s="191" t="s">
        <v>1315</v>
      </c>
      <c r="D33" s="191" t="s">
        <v>1316</v>
      </c>
      <c r="E33" s="191" t="s">
        <v>1317</v>
      </c>
      <c r="F33" s="191" t="s">
        <v>668</v>
      </c>
      <c r="G33" s="191" t="s">
        <v>1318</v>
      </c>
    </row>
    <row r="34" spans="1:7" ht="99.75" thickBot="1">
      <c r="A34" s="191" t="s">
        <v>1272</v>
      </c>
      <c r="B34" s="191" t="s">
        <v>323</v>
      </c>
      <c r="C34" s="191" t="s">
        <v>914</v>
      </c>
      <c r="D34" s="191" t="s">
        <v>904</v>
      </c>
      <c r="E34" s="191" t="s">
        <v>904</v>
      </c>
      <c r="F34" s="191" t="s">
        <v>904</v>
      </c>
      <c r="G34" s="191" t="s">
        <v>1319</v>
      </c>
    </row>
    <row r="35" spans="1:7" ht="396.75" thickBot="1">
      <c r="A35" s="191" t="s">
        <v>98</v>
      </c>
      <c r="B35" s="191" t="s">
        <v>106</v>
      </c>
      <c r="C35" s="191" t="s">
        <v>1320</v>
      </c>
      <c r="D35" s="191" t="s">
        <v>1321</v>
      </c>
      <c r="E35" s="191" t="s">
        <v>1322</v>
      </c>
      <c r="F35" s="191" t="s">
        <v>668</v>
      </c>
      <c r="G35" s="191" t="s">
        <v>1323</v>
      </c>
    </row>
    <row r="36" spans="1:7" ht="363.75" thickBot="1">
      <c r="A36" s="191" t="s">
        <v>260</v>
      </c>
      <c r="B36" s="191" t="s">
        <v>1283</v>
      </c>
      <c r="C36" s="191" t="s">
        <v>1324</v>
      </c>
      <c r="D36" s="191" t="s">
        <v>1325</v>
      </c>
      <c r="E36" s="191" t="s">
        <v>1326</v>
      </c>
      <c r="F36" s="191" t="s">
        <v>668</v>
      </c>
      <c r="G36" s="191" t="s">
        <v>1327</v>
      </c>
    </row>
    <row r="37" spans="1:7" ht="380.25" thickBot="1">
      <c r="A37" s="191" t="s">
        <v>260</v>
      </c>
      <c r="B37" s="191" t="s">
        <v>1283</v>
      </c>
      <c r="C37" s="191" t="s">
        <v>1328</v>
      </c>
      <c r="D37" s="191" t="s">
        <v>1329</v>
      </c>
      <c r="E37" s="191" t="s">
        <v>1326</v>
      </c>
      <c r="F37" s="191" t="s">
        <v>668</v>
      </c>
      <c r="G37" s="191" t="s">
        <v>1330</v>
      </c>
    </row>
    <row r="38" spans="1:7" ht="409.6" thickBot="1">
      <c r="A38" s="191" t="s">
        <v>260</v>
      </c>
      <c r="B38" s="191" t="s">
        <v>1283</v>
      </c>
      <c r="C38" s="191" t="s">
        <v>1331</v>
      </c>
      <c r="D38" s="191" t="s">
        <v>1332</v>
      </c>
      <c r="E38" s="191" t="s">
        <v>1326</v>
      </c>
      <c r="F38" s="191" t="s">
        <v>668</v>
      </c>
      <c r="G38" s="191" t="s">
        <v>1333</v>
      </c>
    </row>
    <row r="39" spans="1:7" ht="409.6" thickBot="1">
      <c r="A39" s="191" t="s">
        <v>479</v>
      </c>
      <c r="B39" s="191" t="s">
        <v>794</v>
      </c>
      <c r="C39" s="191" t="s">
        <v>1334</v>
      </c>
      <c r="D39" s="191" t="s">
        <v>1335</v>
      </c>
      <c r="E39" s="191" t="s">
        <v>1336</v>
      </c>
      <c r="F39" s="191" t="s">
        <v>622</v>
      </c>
      <c r="G39" s="191" t="s">
        <v>1337</v>
      </c>
    </row>
    <row r="40" spans="1:7" ht="165.75" thickBot="1">
      <c r="A40" s="191" t="s">
        <v>479</v>
      </c>
      <c r="B40" s="191" t="s">
        <v>794</v>
      </c>
      <c r="C40" s="191" t="s">
        <v>1338</v>
      </c>
      <c r="D40" s="191" t="s">
        <v>904</v>
      </c>
      <c r="E40" s="191" t="s">
        <v>904</v>
      </c>
      <c r="F40" s="191" t="s">
        <v>904</v>
      </c>
      <c r="G40" s="191" t="s">
        <v>1339</v>
      </c>
    </row>
    <row r="41" spans="1:7" ht="17.25" thickBot="1">
      <c r="A41" s="190" t="s">
        <v>1340</v>
      </c>
      <c r="B41" s="190" t="s">
        <v>1341</v>
      </c>
      <c r="C41" s="190" t="s">
        <v>850</v>
      </c>
      <c r="D41" s="190" t="s">
        <v>596</v>
      </c>
      <c r="E41" s="190" t="s">
        <v>1342</v>
      </c>
      <c r="F41" s="190" t="s">
        <v>931</v>
      </c>
      <c r="G41" s="190" t="s">
        <v>599</v>
      </c>
    </row>
    <row r="42" spans="1:7" ht="330.75" thickBot="1">
      <c r="A42" s="191" t="s">
        <v>353</v>
      </c>
      <c r="B42" s="191" t="s">
        <v>354</v>
      </c>
      <c r="C42" s="191" t="s">
        <v>1343</v>
      </c>
      <c r="D42" s="191" t="s">
        <v>1344</v>
      </c>
      <c r="E42" s="191" t="s">
        <v>1345</v>
      </c>
      <c r="F42" s="191" t="s">
        <v>1346</v>
      </c>
      <c r="G42" s="191" t="s">
        <v>1347</v>
      </c>
    </row>
    <row r="43" spans="1:7" ht="314.25" thickBot="1">
      <c r="A43" s="191" t="s">
        <v>353</v>
      </c>
      <c r="B43" s="191" t="s">
        <v>354</v>
      </c>
      <c r="C43" s="191" t="s">
        <v>1348</v>
      </c>
      <c r="D43" s="191" t="s">
        <v>1349</v>
      </c>
      <c r="E43" s="191" t="s">
        <v>1345</v>
      </c>
      <c r="F43" s="191" t="s">
        <v>1346</v>
      </c>
      <c r="G43" s="191" t="s">
        <v>1350</v>
      </c>
    </row>
    <row r="44" spans="1:7" ht="297.75" thickBot="1">
      <c r="A44" s="191" t="s">
        <v>353</v>
      </c>
      <c r="B44" s="191" t="s">
        <v>354</v>
      </c>
      <c r="C44" s="191" t="s">
        <v>1351</v>
      </c>
      <c r="D44" s="191" t="s">
        <v>1352</v>
      </c>
      <c r="E44" s="191" t="s">
        <v>1345</v>
      </c>
      <c r="F44" s="191" t="s">
        <v>1346</v>
      </c>
      <c r="G44" s="191" t="s">
        <v>1353</v>
      </c>
    </row>
    <row r="45" spans="1:7" ht="363.75" thickBot="1">
      <c r="A45" s="191" t="s">
        <v>472</v>
      </c>
      <c r="B45" s="191" t="s">
        <v>1354</v>
      </c>
      <c r="C45" s="191" t="s">
        <v>1355</v>
      </c>
      <c r="D45" s="191" t="s">
        <v>1356</v>
      </c>
      <c r="E45" s="191" t="s">
        <v>1357</v>
      </c>
      <c r="F45" s="191" t="s">
        <v>1358</v>
      </c>
      <c r="G45" s="191" t="s">
        <v>1359</v>
      </c>
    </row>
    <row r="46" spans="1:7" ht="215.25" thickBot="1">
      <c r="A46" s="191" t="s">
        <v>472</v>
      </c>
      <c r="B46" s="191" t="s">
        <v>1354</v>
      </c>
      <c r="C46" s="191" t="s">
        <v>1360</v>
      </c>
      <c r="D46" s="191" t="s">
        <v>1361</v>
      </c>
      <c r="E46" s="191" t="s">
        <v>1362</v>
      </c>
      <c r="F46" s="191" t="s">
        <v>1358</v>
      </c>
      <c r="G46" s="191" t="s">
        <v>1363</v>
      </c>
    </row>
    <row r="47" spans="1:7" ht="409.6" thickBot="1">
      <c r="A47" s="191" t="s">
        <v>57</v>
      </c>
      <c r="B47" s="191" t="s">
        <v>58</v>
      </c>
      <c r="C47" s="191" t="s">
        <v>1364</v>
      </c>
      <c r="D47" s="191" t="s">
        <v>1365</v>
      </c>
      <c r="E47" s="191" t="s">
        <v>1366</v>
      </c>
      <c r="F47" s="191" t="s">
        <v>1367</v>
      </c>
      <c r="G47" s="191" t="s">
        <v>1368</v>
      </c>
    </row>
    <row r="48" spans="1:7" ht="347.25" thickBot="1">
      <c r="A48" s="191" t="s">
        <v>422</v>
      </c>
      <c r="B48" s="191" t="s">
        <v>423</v>
      </c>
      <c r="C48" s="191" t="s">
        <v>1369</v>
      </c>
      <c r="D48" s="191" t="s">
        <v>77</v>
      </c>
      <c r="E48" s="191" t="s">
        <v>77</v>
      </c>
      <c r="F48" s="191" t="s">
        <v>904</v>
      </c>
      <c r="G48" s="191" t="s">
        <v>1370</v>
      </c>
    </row>
    <row r="49" spans="1:7" ht="116.25" thickBot="1">
      <c r="A49" s="191" t="s">
        <v>222</v>
      </c>
      <c r="B49" s="191" t="s">
        <v>223</v>
      </c>
      <c r="C49" s="191" t="s">
        <v>1371</v>
      </c>
      <c r="D49" s="191" t="s">
        <v>1372</v>
      </c>
      <c r="E49" s="191" t="s">
        <v>1373</v>
      </c>
      <c r="F49" s="191" t="s">
        <v>1374</v>
      </c>
      <c r="G49" s="191" t="s">
        <v>1375</v>
      </c>
    </row>
    <row r="50" spans="1:7" ht="116.25" thickBot="1">
      <c r="A50" s="191" t="s">
        <v>222</v>
      </c>
      <c r="B50" s="191" t="s">
        <v>223</v>
      </c>
      <c r="C50" s="191" t="s">
        <v>1376</v>
      </c>
      <c r="D50" s="191" t="s">
        <v>1377</v>
      </c>
      <c r="E50" s="191" t="s">
        <v>1373</v>
      </c>
      <c r="F50" s="191" t="s">
        <v>1374</v>
      </c>
      <c r="G50" s="191" t="s">
        <v>1378</v>
      </c>
    </row>
    <row r="51" spans="1:7" ht="116.25" thickBot="1">
      <c r="A51" s="191" t="s">
        <v>222</v>
      </c>
      <c r="B51" s="191" t="s">
        <v>223</v>
      </c>
      <c r="C51" s="191" t="s">
        <v>1379</v>
      </c>
      <c r="D51" s="191" t="s">
        <v>1380</v>
      </c>
      <c r="E51" s="191" t="s">
        <v>1373</v>
      </c>
      <c r="F51" s="191" t="s">
        <v>1374</v>
      </c>
      <c r="G51" s="191" t="s">
        <v>1381</v>
      </c>
    </row>
    <row r="52" spans="1:7" ht="116.25" thickBot="1">
      <c r="A52" s="191" t="s">
        <v>222</v>
      </c>
      <c r="B52" s="191" t="s">
        <v>223</v>
      </c>
      <c r="C52" s="191" t="s">
        <v>1382</v>
      </c>
      <c r="D52" s="191" t="s">
        <v>1383</v>
      </c>
      <c r="E52" s="191" t="s">
        <v>1373</v>
      </c>
      <c r="F52" s="191" t="s">
        <v>1374</v>
      </c>
      <c r="G52" s="191" t="s">
        <v>1384</v>
      </c>
    </row>
    <row r="53" spans="1:7" ht="50.25" thickBot="1">
      <c r="A53" s="191" t="s">
        <v>229</v>
      </c>
      <c r="B53" s="191" t="s">
        <v>223</v>
      </c>
      <c r="C53" s="191" t="s">
        <v>1371</v>
      </c>
      <c r="D53" s="191" t="s">
        <v>1385</v>
      </c>
      <c r="E53" s="191" t="s">
        <v>1386</v>
      </c>
      <c r="F53" s="191" t="s">
        <v>1374</v>
      </c>
      <c r="G53" s="191" t="s">
        <v>1387</v>
      </c>
    </row>
    <row r="54" spans="1:7" ht="66.75" thickBot="1">
      <c r="A54" s="191" t="s">
        <v>229</v>
      </c>
      <c r="B54" s="191" t="s">
        <v>223</v>
      </c>
      <c r="C54" s="191" t="s">
        <v>1376</v>
      </c>
      <c r="D54" s="191" t="s">
        <v>1388</v>
      </c>
      <c r="E54" s="191" t="s">
        <v>1386</v>
      </c>
      <c r="F54" s="191" t="s">
        <v>1374</v>
      </c>
      <c r="G54" s="191" t="s">
        <v>1389</v>
      </c>
    </row>
    <row r="55" spans="1:7" ht="50.25" thickBot="1">
      <c r="A55" s="191" t="s">
        <v>229</v>
      </c>
      <c r="B55" s="191" t="s">
        <v>223</v>
      </c>
      <c r="C55" s="191" t="s">
        <v>1379</v>
      </c>
      <c r="D55" s="191" t="s">
        <v>1390</v>
      </c>
      <c r="E55" s="191" t="s">
        <v>1386</v>
      </c>
      <c r="F55" s="191" t="s">
        <v>1374</v>
      </c>
      <c r="G55" s="191" t="s">
        <v>1391</v>
      </c>
    </row>
    <row r="56" spans="1:7" ht="66.75" thickBot="1">
      <c r="A56" s="191" t="s">
        <v>229</v>
      </c>
      <c r="B56" s="191" t="s">
        <v>223</v>
      </c>
      <c r="C56" s="191" t="s">
        <v>1382</v>
      </c>
      <c r="D56" s="191" t="s">
        <v>1392</v>
      </c>
      <c r="E56" s="191" t="s">
        <v>1386</v>
      </c>
      <c r="F56" s="191" t="s">
        <v>1374</v>
      </c>
      <c r="G56" s="191" t="s">
        <v>1393</v>
      </c>
    </row>
    <row r="57" spans="1:7" ht="50.25" thickBot="1">
      <c r="A57" s="191" t="s">
        <v>230</v>
      </c>
      <c r="B57" s="191" t="s">
        <v>223</v>
      </c>
      <c r="C57" s="191" t="s">
        <v>1371</v>
      </c>
      <c r="D57" s="191" t="s">
        <v>1394</v>
      </c>
      <c r="E57" s="191" t="s">
        <v>1386</v>
      </c>
      <c r="F57" s="191" t="s">
        <v>1374</v>
      </c>
      <c r="G57" s="191" t="s">
        <v>1395</v>
      </c>
    </row>
    <row r="58" spans="1:7" ht="50.25" thickBot="1">
      <c r="A58" s="191" t="s">
        <v>230</v>
      </c>
      <c r="B58" s="191" t="s">
        <v>223</v>
      </c>
      <c r="C58" s="191" t="s">
        <v>1376</v>
      </c>
      <c r="D58" s="191" t="s">
        <v>1396</v>
      </c>
      <c r="E58" s="191" t="s">
        <v>1386</v>
      </c>
      <c r="F58" s="191" t="s">
        <v>1374</v>
      </c>
      <c r="G58" s="191" t="s">
        <v>1397</v>
      </c>
    </row>
    <row r="59" spans="1:7" ht="66.75" thickBot="1">
      <c r="A59" s="191" t="s">
        <v>230</v>
      </c>
      <c r="B59" s="191" t="s">
        <v>223</v>
      </c>
      <c r="C59" s="191" t="s">
        <v>1379</v>
      </c>
      <c r="D59" s="191" t="s">
        <v>1398</v>
      </c>
      <c r="E59" s="191" t="s">
        <v>1386</v>
      </c>
      <c r="F59" s="191" t="s">
        <v>1374</v>
      </c>
      <c r="G59" s="191" t="s">
        <v>1399</v>
      </c>
    </row>
    <row r="60" spans="1:7" ht="66.75" thickBot="1">
      <c r="A60" s="191" t="s">
        <v>230</v>
      </c>
      <c r="B60" s="191" t="s">
        <v>223</v>
      </c>
      <c r="C60" s="191" t="s">
        <v>1382</v>
      </c>
      <c r="D60" s="191" t="s">
        <v>1400</v>
      </c>
      <c r="E60" s="191" t="s">
        <v>1386</v>
      </c>
      <c r="F60" s="191" t="s">
        <v>1374</v>
      </c>
      <c r="G60" s="191" t="s">
        <v>1401</v>
      </c>
    </row>
    <row r="61" spans="1:7" ht="50.25" thickBot="1">
      <c r="A61" s="191" t="s">
        <v>231</v>
      </c>
      <c r="B61" s="191" t="s">
        <v>223</v>
      </c>
      <c r="C61" s="191" t="s">
        <v>1371</v>
      </c>
      <c r="D61" s="191" t="s">
        <v>1402</v>
      </c>
      <c r="E61" s="191" t="s">
        <v>1386</v>
      </c>
      <c r="F61" s="191" t="s">
        <v>1374</v>
      </c>
      <c r="G61" s="191" t="s">
        <v>1403</v>
      </c>
    </row>
    <row r="62" spans="1:7" ht="50.25" thickBot="1">
      <c r="A62" s="191" t="s">
        <v>231</v>
      </c>
      <c r="B62" s="191" t="s">
        <v>223</v>
      </c>
      <c r="C62" s="191" t="s">
        <v>1376</v>
      </c>
      <c r="D62" s="191" t="s">
        <v>1404</v>
      </c>
      <c r="E62" s="191" t="s">
        <v>1386</v>
      </c>
      <c r="F62" s="191" t="s">
        <v>1374</v>
      </c>
      <c r="G62" s="191" t="s">
        <v>1405</v>
      </c>
    </row>
    <row r="63" spans="1:7" ht="66.75" thickBot="1">
      <c r="A63" s="191" t="s">
        <v>231</v>
      </c>
      <c r="B63" s="191" t="s">
        <v>223</v>
      </c>
      <c r="C63" s="191" t="s">
        <v>1379</v>
      </c>
      <c r="D63" s="191" t="s">
        <v>1406</v>
      </c>
      <c r="E63" s="191" t="s">
        <v>1386</v>
      </c>
      <c r="F63" s="191" t="s">
        <v>1374</v>
      </c>
      <c r="G63" s="191" t="s">
        <v>1407</v>
      </c>
    </row>
    <row r="64" spans="1:7" ht="66.75" thickBot="1">
      <c r="A64" s="191" t="s">
        <v>231</v>
      </c>
      <c r="B64" s="191" t="s">
        <v>223</v>
      </c>
      <c r="C64" s="191" t="s">
        <v>1382</v>
      </c>
      <c r="D64" s="191" t="s">
        <v>1408</v>
      </c>
      <c r="E64" s="191" t="s">
        <v>1386</v>
      </c>
      <c r="F64" s="191" t="s">
        <v>1374</v>
      </c>
      <c r="G64" s="191" t="s">
        <v>1409</v>
      </c>
    </row>
    <row r="65" spans="1:7" ht="66.75" thickBot="1">
      <c r="A65" s="191" t="s">
        <v>232</v>
      </c>
      <c r="B65" s="191" t="s">
        <v>223</v>
      </c>
      <c r="C65" s="191" t="s">
        <v>1371</v>
      </c>
      <c r="D65" s="191" t="s">
        <v>1410</v>
      </c>
      <c r="E65" s="191" t="s">
        <v>1386</v>
      </c>
      <c r="F65" s="191" t="s">
        <v>1374</v>
      </c>
      <c r="G65" s="191" t="s">
        <v>1411</v>
      </c>
    </row>
    <row r="66" spans="1:7" ht="66.75" thickBot="1">
      <c r="A66" s="191" t="s">
        <v>232</v>
      </c>
      <c r="B66" s="191" t="s">
        <v>223</v>
      </c>
      <c r="C66" s="191" t="s">
        <v>1376</v>
      </c>
      <c r="D66" s="191" t="s">
        <v>1412</v>
      </c>
      <c r="E66" s="191" t="s">
        <v>1386</v>
      </c>
      <c r="F66" s="191" t="s">
        <v>1374</v>
      </c>
      <c r="G66" s="191" t="s">
        <v>1413</v>
      </c>
    </row>
    <row r="67" spans="1:7" ht="66.75" thickBot="1">
      <c r="A67" s="191" t="s">
        <v>232</v>
      </c>
      <c r="B67" s="191" t="s">
        <v>223</v>
      </c>
      <c r="C67" s="191" t="s">
        <v>1379</v>
      </c>
      <c r="D67" s="191" t="s">
        <v>1414</v>
      </c>
      <c r="E67" s="191" t="s">
        <v>1386</v>
      </c>
      <c r="F67" s="191" t="s">
        <v>1374</v>
      </c>
      <c r="G67" s="191" t="s">
        <v>1415</v>
      </c>
    </row>
    <row r="68" spans="1:7" ht="66.75" thickBot="1">
      <c r="A68" s="191" t="s">
        <v>232</v>
      </c>
      <c r="B68" s="191" t="s">
        <v>223</v>
      </c>
      <c r="C68" s="191" t="s">
        <v>1382</v>
      </c>
      <c r="D68" s="191" t="s">
        <v>1416</v>
      </c>
      <c r="E68" s="191" t="s">
        <v>1386</v>
      </c>
      <c r="F68" s="191" t="s">
        <v>1374</v>
      </c>
      <c r="G68" s="191" t="s">
        <v>1417</v>
      </c>
    </row>
    <row r="69" spans="1:7" ht="50.25" thickBot="1">
      <c r="A69" s="191" t="s">
        <v>233</v>
      </c>
      <c r="B69" s="191" t="s">
        <v>223</v>
      </c>
      <c r="C69" s="191" t="s">
        <v>1371</v>
      </c>
      <c r="D69" s="191" t="s">
        <v>1418</v>
      </c>
      <c r="E69" s="191" t="s">
        <v>1386</v>
      </c>
      <c r="F69" s="191" t="s">
        <v>1374</v>
      </c>
      <c r="G69" s="191" t="s">
        <v>1419</v>
      </c>
    </row>
    <row r="70" spans="1:7" ht="66.75" thickBot="1">
      <c r="A70" s="191" t="s">
        <v>233</v>
      </c>
      <c r="B70" s="191" t="s">
        <v>223</v>
      </c>
      <c r="C70" s="191" t="s">
        <v>1376</v>
      </c>
      <c r="D70" s="191" t="s">
        <v>1420</v>
      </c>
      <c r="E70" s="191" t="s">
        <v>1386</v>
      </c>
      <c r="F70" s="191" t="s">
        <v>1374</v>
      </c>
      <c r="G70" s="191" t="s">
        <v>1421</v>
      </c>
    </row>
    <row r="71" spans="1:7" ht="66.75" thickBot="1">
      <c r="A71" s="191" t="s">
        <v>233</v>
      </c>
      <c r="B71" s="191" t="s">
        <v>223</v>
      </c>
      <c r="C71" s="191" t="s">
        <v>1379</v>
      </c>
      <c r="D71" s="191" t="s">
        <v>1422</v>
      </c>
      <c r="E71" s="191" t="s">
        <v>1386</v>
      </c>
      <c r="F71" s="191" t="s">
        <v>1374</v>
      </c>
      <c r="G71" s="191" t="s">
        <v>1423</v>
      </c>
    </row>
    <row r="72" spans="1:7" ht="83.25" thickBot="1">
      <c r="A72" s="191" t="s">
        <v>233</v>
      </c>
      <c r="B72" s="191" t="s">
        <v>223</v>
      </c>
      <c r="C72" s="191" t="s">
        <v>1382</v>
      </c>
      <c r="D72" s="191" t="s">
        <v>1424</v>
      </c>
      <c r="E72" s="191" t="s">
        <v>1386</v>
      </c>
      <c r="F72" s="191" t="s">
        <v>1374</v>
      </c>
      <c r="G72" s="191" t="s">
        <v>1425</v>
      </c>
    </row>
    <row r="73" spans="1:7" ht="66.75" thickBot="1">
      <c r="A73" s="191" t="s">
        <v>234</v>
      </c>
      <c r="B73" s="191" t="s">
        <v>223</v>
      </c>
      <c r="C73" s="191" t="s">
        <v>1371</v>
      </c>
      <c r="D73" s="191" t="s">
        <v>1426</v>
      </c>
      <c r="E73" s="191" t="s">
        <v>1386</v>
      </c>
      <c r="F73" s="191" t="s">
        <v>1374</v>
      </c>
      <c r="G73" s="191" t="s">
        <v>1427</v>
      </c>
    </row>
    <row r="74" spans="1:7" ht="66.75" thickBot="1">
      <c r="A74" s="191" t="s">
        <v>234</v>
      </c>
      <c r="B74" s="191" t="s">
        <v>223</v>
      </c>
      <c r="C74" s="191" t="s">
        <v>1376</v>
      </c>
      <c r="D74" s="191" t="s">
        <v>1428</v>
      </c>
      <c r="E74" s="191" t="s">
        <v>1386</v>
      </c>
      <c r="F74" s="191" t="s">
        <v>1374</v>
      </c>
      <c r="G74" s="191" t="s">
        <v>1429</v>
      </c>
    </row>
    <row r="75" spans="1:7" ht="66.75" thickBot="1">
      <c r="A75" s="191" t="s">
        <v>234</v>
      </c>
      <c r="B75" s="191" t="s">
        <v>223</v>
      </c>
      <c r="C75" s="191" t="s">
        <v>1379</v>
      </c>
      <c r="D75" s="191" t="s">
        <v>1430</v>
      </c>
      <c r="E75" s="191" t="s">
        <v>1386</v>
      </c>
      <c r="F75" s="191" t="s">
        <v>1374</v>
      </c>
      <c r="G75" s="191" t="s">
        <v>1431</v>
      </c>
    </row>
    <row r="76" spans="1:7" ht="215.25" thickBot="1">
      <c r="A76" s="191" t="s">
        <v>234</v>
      </c>
      <c r="B76" s="191" t="s">
        <v>223</v>
      </c>
      <c r="C76" s="191" t="s">
        <v>1382</v>
      </c>
      <c r="D76" s="191" t="s">
        <v>1432</v>
      </c>
      <c r="E76" s="191" t="s">
        <v>1386</v>
      </c>
      <c r="F76" s="191" t="s">
        <v>1374</v>
      </c>
      <c r="G76" s="191" t="s">
        <v>1433</v>
      </c>
    </row>
    <row r="77" spans="1:7" ht="83.25" thickBot="1">
      <c r="A77" s="191" t="s">
        <v>235</v>
      </c>
      <c r="B77" s="191" t="s">
        <v>223</v>
      </c>
      <c r="C77" s="191" t="s">
        <v>1371</v>
      </c>
      <c r="D77" s="191" t="s">
        <v>1434</v>
      </c>
      <c r="E77" s="191" t="s">
        <v>1386</v>
      </c>
      <c r="F77" s="191" t="s">
        <v>1374</v>
      </c>
      <c r="G77" s="191" t="s">
        <v>1435</v>
      </c>
    </row>
    <row r="78" spans="1:7" ht="99.75" thickBot="1">
      <c r="A78" s="191" t="s">
        <v>235</v>
      </c>
      <c r="B78" s="191" t="s">
        <v>223</v>
      </c>
      <c r="C78" s="191" t="s">
        <v>1376</v>
      </c>
      <c r="D78" s="191" t="s">
        <v>1436</v>
      </c>
      <c r="E78" s="191" t="s">
        <v>1386</v>
      </c>
      <c r="F78" s="191" t="s">
        <v>1374</v>
      </c>
      <c r="G78" s="191" t="s">
        <v>1437</v>
      </c>
    </row>
    <row r="79" spans="1:7" ht="83.25" thickBot="1">
      <c r="A79" s="191" t="s">
        <v>235</v>
      </c>
      <c r="B79" s="191" t="s">
        <v>223</v>
      </c>
      <c r="C79" s="191" t="s">
        <v>1379</v>
      </c>
      <c r="D79" s="191" t="s">
        <v>1438</v>
      </c>
      <c r="E79" s="191" t="s">
        <v>1386</v>
      </c>
      <c r="F79" s="191" t="s">
        <v>1374</v>
      </c>
      <c r="G79" s="191" t="s">
        <v>1439</v>
      </c>
    </row>
    <row r="80" spans="1:7" ht="83.25" thickBot="1">
      <c r="A80" s="191" t="s">
        <v>235</v>
      </c>
      <c r="B80" s="191" t="s">
        <v>223</v>
      </c>
      <c r="C80" s="191" t="s">
        <v>1382</v>
      </c>
      <c r="D80" s="191" t="s">
        <v>1440</v>
      </c>
      <c r="E80" s="191" t="s">
        <v>1386</v>
      </c>
      <c r="F80" s="191" t="s">
        <v>1374</v>
      </c>
      <c r="G80" s="191" t="s">
        <v>1441</v>
      </c>
    </row>
    <row r="81" spans="1:7" ht="83.25" thickBot="1">
      <c r="A81" s="191" t="s">
        <v>236</v>
      </c>
      <c r="B81" s="191" t="s">
        <v>223</v>
      </c>
      <c r="C81" s="191" t="s">
        <v>1371</v>
      </c>
      <c r="D81" s="191" t="s">
        <v>1442</v>
      </c>
      <c r="E81" s="191" t="s">
        <v>1386</v>
      </c>
      <c r="F81" s="191" t="s">
        <v>1374</v>
      </c>
      <c r="G81" s="191" t="s">
        <v>1443</v>
      </c>
    </row>
    <row r="82" spans="1:7" ht="83.25" thickBot="1">
      <c r="A82" s="191" t="s">
        <v>236</v>
      </c>
      <c r="B82" s="191" t="s">
        <v>223</v>
      </c>
      <c r="C82" s="191" t="s">
        <v>1376</v>
      </c>
      <c r="D82" s="191" t="s">
        <v>1444</v>
      </c>
      <c r="E82" s="191" t="s">
        <v>1386</v>
      </c>
      <c r="F82" s="191" t="s">
        <v>1374</v>
      </c>
      <c r="G82" s="191" t="s">
        <v>1445</v>
      </c>
    </row>
    <row r="83" spans="1:7" ht="83.25" thickBot="1">
      <c r="A83" s="191" t="s">
        <v>236</v>
      </c>
      <c r="B83" s="191" t="s">
        <v>223</v>
      </c>
      <c r="C83" s="191" t="s">
        <v>1379</v>
      </c>
      <c r="D83" s="191" t="s">
        <v>1446</v>
      </c>
      <c r="E83" s="191" t="s">
        <v>1386</v>
      </c>
      <c r="F83" s="191" t="s">
        <v>1374</v>
      </c>
      <c r="G83" s="191" t="s">
        <v>1447</v>
      </c>
    </row>
    <row r="84" spans="1:7" ht="99.75" thickBot="1">
      <c r="A84" s="191" t="s">
        <v>236</v>
      </c>
      <c r="B84" s="191" t="s">
        <v>223</v>
      </c>
      <c r="C84" s="191" t="s">
        <v>1382</v>
      </c>
      <c r="D84" s="191" t="s">
        <v>1448</v>
      </c>
      <c r="E84" s="135" t="s">
        <v>1386</v>
      </c>
      <c r="F84" s="191" t="s">
        <v>1374</v>
      </c>
      <c r="G84" s="191" t="s">
        <v>1449</v>
      </c>
    </row>
    <row r="85" spans="1:7" ht="66.75" thickBot="1">
      <c r="A85" s="191" t="s">
        <v>237</v>
      </c>
      <c r="B85" s="191" t="s">
        <v>223</v>
      </c>
      <c r="C85" s="191" t="s">
        <v>1371</v>
      </c>
      <c r="D85" s="191" t="s">
        <v>1450</v>
      </c>
      <c r="E85" s="191" t="s">
        <v>1386</v>
      </c>
      <c r="F85" s="191" t="s">
        <v>1374</v>
      </c>
      <c r="G85" s="191" t="s">
        <v>1451</v>
      </c>
    </row>
    <row r="86" spans="1:7" ht="66.75" thickBot="1">
      <c r="A86" s="191" t="s">
        <v>237</v>
      </c>
      <c r="B86" s="191" t="s">
        <v>223</v>
      </c>
      <c r="C86" s="191" t="s">
        <v>1376</v>
      </c>
      <c r="D86" s="191" t="s">
        <v>1452</v>
      </c>
      <c r="E86" s="191" t="s">
        <v>1386</v>
      </c>
      <c r="F86" s="191" t="s">
        <v>1374</v>
      </c>
      <c r="G86" s="191" t="s">
        <v>1453</v>
      </c>
    </row>
    <row r="87" spans="1:7" ht="83.25" thickBot="1">
      <c r="A87" s="191" t="s">
        <v>237</v>
      </c>
      <c r="B87" s="191" t="s">
        <v>223</v>
      </c>
      <c r="C87" s="191" t="s">
        <v>1379</v>
      </c>
      <c r="D87" s="191" t="s">
        <v>1454</v>
      </c>
      <c r="E87" s="191" t="s">
        <v>1386</v>
      </c>
      <c r="F87" s="191" t="s">
        <v>1374</v>
      </c>
      <c r="G87" s="191" t="s">
        <v>1455</v>
      </c>
    </row>
    <row r="88" spans="1:7" ht="83.25" thickBot="1">
      <c r="A88" s="191" t="s">
        <v>237</v>
      </c>
      <c r="B88" s="191" t="s">
        <v>223</v>
      </c>
      <c r="C88" s="191" t="s">
        <v>1382</v>
      </c>
      <c r="D88" s="191" t="s">
        <v>1456</v>
      </c>
      <c r="E88" s="191" t="s">
        <v>1386</v>
      </c>
      <c r="F88" s="191" t="s">
        <v>1374</v>
      </c>
      <c r="G88" s="191" t="s">
        <v>1457</v>
      </c>
    </row>
    <row r="89" spans="1:7" ht="66.75" thickBot="1">
      <c r="A89" s="191" t="s">
        <v>238</v>
      </c>
      <c r="B89" s="191" t="s">
        <v>223</v>
      </c>
      <c r="C89" s="191" t="s">
        <v>1371</v>
      </c>
      <c r="D89" s="191" t="s">
        <v>1458</v>
      </c>
      <c r="E89" s="191" t="s">
        <v>1386</v>
      </c>
      <c r="F89" s="191" t="s">
        <v>1374</v>
      </c>
      <c r="G89" s="191" t="s">
        <v>1459</v>
      </c>
    </row>
    <row r="90" spans="1:7" ht="83.25" thickBot="1">
      <c r="A90" s="191" t="s">
        <v>238</v>
      </c>
      <c r="B90" s="191" t="s">
        <v>223</v>
      </c>
      <c r="C90" s="191" t="s">
        <v>1376</v>
      </c>
      <c r="D90" s="191" t="s">
        <v>1460</v>
      </c>
      <c r="E90" s="191" t="s">
        <v>1386</v>
      </c>
      <c r="F90" s="191" t="s">
        <v>1374</v>
      </c>
      <c r="G90" s="191" t="s">
        <v>1461</v>
      </c>
    </row>
    <row r="91" spans="1:7" ht="83.25" thickBot="1">
      <c r="A91" s="191" t="s">
        <v>238</v>
      </c>
      <c r="B91" s="191" t="s">
        <v>223</v>
      </c>
      <c r="C91" s="191" t="s">
        <v>1379</v>
      </c>
      <c r="D91" s="191" t="s">
        <v>1462</v>
      </c>
      <c r="E91" s="191" t="s">
        <v>1386</v>
      </c>
      <c r="F91" s="191" t="s">
        <v>1374</v>
      </c>
      <c r="G91" s="191" t="s">
        <v>1463</v>
      </c>
    </row>
    <row r="92" spans="1:7" ht="83.25" thickBot="1">
      <c r="A92" s="191" t="s">
        <v>238</v>
      </c>
      <c r="B92" s="191" t="s">
        <v>223</v>
      </c>
      <c r="C92" s="191" t="s">
        <v>1382</v>
      </c>
      <c r="D92" s="191" t="s">
        <v>1464</v>
      </c>
      <c r="E92" s="191" t="s">
        <v>1386</v>
      </c>
      <c r="F92" s="191" t="s">
        <v>1374</v>
      </c>
      <c r="G92" s="191" t="s">
        <v>1465</v>
      </c>
    </row>
    <row r="93" spans="1:7" ht="66.75" thickBot="1">
      <c r="A93" s="191" t="s">
        <v>239</v>
      </c>
      <c r="B93" s="191" t="s">
        <v>223</v>
      </c>
      <c r="C93" s="191" t="s">
        <v>1371</v>
      </c>
      <c r="D93" s="191" t="s">
        <v>1466</v>
      </c>
      <c r="E93" s="191" t="s">
        <v>1386</v>
      </c>
      <c r="F93" s="191" t="s">
        <v>1374</v>
      </c>
      <c r="G93" s="191" t="s">
        <v>1467</v>
      </c>
    </row>
    <row r="94" spans="1:7" ht="83.25" thickBot="1">
      <c r="A94" s="191" t="s">
        <v>239</v>
      </c>
      <c r="B94" s="191" t="s">
        <v>223</v>
      </c>
      <c r="C94" s="191" t="s">
        <v>1376</v>
      </c>
      <c r="D94" s="191" t="s">
        <v>1468</v>
      </c>
      <c r="E94" s="191" t="s">
        <v>1386</v>
      </c>
      <c r="F94" s="191" t="s">
        <v>1374</v>
      </c>
      <c r="G94" s="191" t="s">
        <v>1469</v>
      </c>
    </row>
    <row r="95" spans="1:7" ht="83.25" thickBot="1">
      <c r="A95" s="191" t="s">
        <v>239</v>
      </c>
      <c r="B95" s="191" t="s">
        <v>223</v>
      </c>
      <c r="C95" s="191" t="s">
        <v>1379</v>
      </c>
      <c r="D95" s="191" t="s">
        <v>1470</v>
      </c>
      <c r="E95" s="191" t="s">
        <v>1386</v>
      </c>
      <c r="F95" s="191" t="s">
        <v>1374</v>
      </c>
      <c r="G95" s="191" t="s">
        <v>1471</v>
      </c>
    </row>
    <row r="96" spans="1:7" ht="83.25" thickBot="1">
      <c r="A96" s="191" t="s">
        <v>239</v>
      </c>
      <c r="B96" s="191" t="s">
        <v>223</v>
      </c>
      <c r="C96" s="191" t="s">
        <v>1382</v>
      </c>
      <c r="D96" s="191" t="s">
        <v>1472</v>
      </c>
      <c r="E96" s="191" t="s">
        <v>1386</v>
      </c>
      <c r="F96" s="191" t="s">
        <v>1374</v>
      </c>
      <c r="G96" s="191" t="s">
        <v>1473</v>
      </c>
    </row>
    <row r="97" spans="1:7" ht="66.75" thickBot="1">
      <c r="A97" s="191" t="s">
        <v>240</v>
      </c>
      <c r="B97" s="191" t="s">
        <v>223</v>
      </c>
      <c r="C97" s="191" t="s">
        <v>1371</v>
      </c>
      <c r="D97" s="191" t="s">
        <v>1474</v>
      </c>
      <c r="E97" s="191" t="s">
        <v>1386</v>
      </c>
      <c r="F97" s="191" t="s">
        <v>1374</v>
      </c>
      <c r="G97" s="191" t="s">
        <v>1475</v>
      </c>
    </row>
    <row r="98" spans="1:7" ht="83.25" thickBot="1">
      <c r="A98" s="191" t="s">
        <v>240</v>
      </c>
      <c r="B98" s="191" t="s">
        <v>223</v>
      </c>
      <c r="C98" s="191" t="s">
        <v>1376</v>
      </c>
      <c r="D98" s="191" t="s">
        <v>1476</v>
      </c>
      <c r="E98" s="191" t="s">
        <v>1386</v>
      </c>
      <c r="F98" s="191" t="s">
        <v>1374</v>
      </c>
      <c r="G98" s="191" t="s">
        <v>1477</v>
      </c>
    </row>
    <row r="99" spans="1:7" ht="83.25" thickBot="1">
      <c r="A99" s="191" t="s">
        <v>240</v>
      </c>
      <c r="B99" s="191" t="s">
        <v>223</v>
      </c>
      <c r="C99" s="191" t="s">
        <v>1379</v>
      </c>
      <c r="D99" s="191" t="s">
        <v>1478</v>
      </c>
      <c r="E99" s="191" t="s">
        <v>1386</v>
      </c>
      <c r="F99" s="191" t="s">
        <v>1374</v>
      </c>
      <c r="G99" s="191" t="s">
        <v>1479</v>
      </c>
    </row>
    <row r="100" spans="1:7" ht="83.25" thickBot="1">
      <c r="A100" s="191" t="s">
        <v>240</v>
      </c>
      <c r="B100" s="191" t="s">
        <v>223</v>
      </c>
      <c r="C100" s="191" t="s">
        <v>1382</v>
      </c>
      <c r="D100" s="191" t="s">
        <v>1480</v>
      </c>
      <c r="E100" s="191" t="s">
        <v>1386</v>
      </c>
      <c r="F100" s="191" t="s">
        <v>1374</v>
      </c>
      <c r="G100" s="191" t="s">
        <v>1481</v>
      </c>
    </row>
    <row r="101" spans="1:7" ht="66.75" thickBot="1">
      <c r="A101" s="191" t="s">
        <v>241</v>
      </c>
      <c r="B101" s="191" t="s">
        <v>223</v>
      </c>
      <c r="C101" s="191" t="s">
        <v>1371</v>
      </c>
      <c r="D101" s="191" t="s">
        <v>1482</v>
      </c>
      <c r="E101" s="191" t="s">
        <v>1386</v>
      </c>
      <c r="F101" s="191" t="s">
        <v>1374</v>
      </c>
      <c r="G101" s="191" t="s">
        <v>1483</v>
      </c>
    </row>
    <row r="102" spans="1:7" ht="83.25" thickBot="1">
      <c r="A102" s="191" t="s">
        <v>241</v>
      </c>
      <c r="B102" s="191" t="s">
        <v>223</v>
      </c>
      <c r="C102" s="191" t="s">
        <v>1376</v>
      </c>
      <c r="D102" s="191" t="s">
        <v>1484</v>
      </c>
      <c r="E102" s="191" t="s">
        <v>1386</v>
      </c>
      <c r="F102" s="191" t="s">
        <v>1374</v>
      </c>
      <c r="G102" s="191" t="s">
        <v>1485</v>
      </c>
    </row>
    <row r="103" spans="1:7" ht="83.25" thickBot="1">
      <c r="A103" s="191" t="s">
        <v>241</v>
      </c>
      <c r="B103" s="191" t="s">
        <v>223</v>
      </c>
      <c r="C103" s="191" t="s">
        <v>1379</v>
      </c>
      <c r="D103" s="191" t="s">
        <v>1486</v>
      </c>
      <c r="E103" s="191" t="s">
        <v>1386</v>
      </c>
      <c r="F103" s="191" t="s">
        <v>1374</v>
      </c>
      <c r="G103" s="191" t="s">
        <v>1487</v>
      </c>
    </row>
    <row r="104" spans="1:7" ht="83.25" thickBot="1">
      <c r="A104" s="191" t="s">
        <v>241</v>
      </c>
      <c r="B104" s="191" t="s">
        <v>223</v>
      </c>
      <c r="C104" s="191" t="s">
        <v>1382</v>
      </c>
      <c r="D104" s="191" t="s">
        <v>1488</v>
      </c>
      <c r="E104" s="191" t="s">
        <v>1386</v>
      </c>
      <c r="F104" s="191" t="s">
        <v>1374</v>
      </c>
      <c r="G104" s="191" t="s">
        <v>1489</v>
      </c>
    </row>
    <row r="105" spans="1:7" ht="66.75" thickBot="1">
      <c r="A105" s="191" t="s">
        <v>242</v>
      </c>
      <c r="B105" s="191" t="s">
        <v>223</v>
      </c>
      <c r="C105" s="191" t="s">
        <v>1371</v>
      </c>
      <c r="D105" s="191" t="s">
        <v>1490</v>
      </c>
      <c r="E105" s="191" t="s">
        <v>1386</v>
      </c>
      <c r="F105" s="191" t="s">
        <v>1374</v>
      </c>
      <c r="G105" s="191" t="s">
        <v>1491</v>
      </c>
    </row>
    <row r="106" spans="1:7" ht="99.75" thickBot="1">
      <c r="A106" s="191" t="s">
        <v>242</v>
      </c>
      <c r="B106" s="191" t="s">
        <v>223</v>
      </c>
      <c r="C106" s="191" t="s">
        <v>1376</v>
      </c>
      <c r="D106" s="191" t="s">
        <v>1492</v>
      </c>
      <c r="E106" s="191" t="s">
        <v>1386</v>
      </c>
      <c r="F106" s="191" t="s">
        <v>1374</v>
      </c>
      <c r="G106" s="191" t="s">
        <v>1493</v>
      </c>
    </row>
    <row r="107" spans="1:7" ht="83.25" thickBot="1">
      <c r="A107" s="191" t="s">
        <v>242</v>
      </c>
      <c r="B107" s="191" t="s">
        <v>223</v>
      </c>
      <c r="C107" s="191" t="s">
        <v>1379</v>
      </c>
      <c r="D107" s="191" t="s">
        <v>1494</v>
      </c>
      <c r="E107" s="191" t="s">
        <v>1386</v>
      </c>
      <c r="F107" s="191" t="s">
        <v>1374</v>
      </c>
      <c r="G107" s="191" t="s">
        <v>1495</v>
      </c>
    </row>
    <row r="108" spans="1:7" ht="198.75" thickBot="1">
      <c r="A108" s="191" t="s">
        <v>242</v>
      </c>
      <c r="B108" s="191" t="s">
        <v>223</v>
      </c>
      <c r="C108" s="191" t="s">
        <v>1382</v>
      </c>
      <c r="D108" s="191" t="s">
        <v>1496</v>
      </c>
      <c r="E108" s="191" t="s">
        <v>1386</v>
      </c>
      <c r="F108" s="191" t="s">
        <v>1374</v>
      </c>
      <c r="G108" s="191" t="s">
        <v>1497</v>
      </c>
    </row>
    <row r="109" spans="1:7" ht="33.75" thickBot="1">
      <c r="A109" s="190" t="s">
        <v>1498</v>
      </c>
      <c r="B109" s="190" t="s">
        <v>559</v>
      </c>
      <c r="C109" s="190" t="s">
        <v>850</v>
      </c>
      <c r="D109" s="190" t="s">
        <v>596</v>
      </c>
      <c r="E109" s="190" t="s">
        <v>851</v>
      </c>
      <c r="F109" s="190" t="s">
        <v>598</v>
      </c>
      <c r="G109" s="190" t="s">
        <v>599</v>
      </c>
    </row>
    <row r="110" spans="1:7" ht="347.25" thickBot="1">
      <c r="A110" s="191" t="s">
        <v>340</v>
      </c>
      <c r="B110" s="191" t="s">
        <v>465</v>
      </c>
      <c r="C110" s="191" t="s">
        <v>1499</v>
      </c>
      <c r="D110" s="191" t="s">
        <v>1500</v>
      </c>
      <c r="E110" s="191" t="s">
        <v>1501</v>
      </c>
      <c r="F110" s="191" t="s">
        <v>668</v>
      </c>
      <c r="G110" s="191" t="s">
        <v>1502</v>
      </c>
    </row>
    <row r="111" spans="1:7" ht="380.25" thickBot="1">
      <c r="A111" s="191" t="s">
        <v>340</v>
      </c>
      <c r="B111" s="191" t="s">
        <v>465</v>
      </c>
      <c r="C111" s="191" t="s">
        <v>1503</v>
      </c>
      <c r="D111" s="191" t="s">
        <v>1504</v>
      </c>
      <c r="E111" s="191" t="s">
        <v>1505</v>
      </c>
      <c r="F111" s="191" t="s">
        <v>668</v>
      </c>
      <c r="G111" s="191" t="s">
        <v>1506</v>
      </c>
    </row>
    <row r="112" spans="1:7" ht="409.6" thickBot="1">
      <c r="A112" s="191" t="s">
        <v>340</v>
      </c>
      <c r="B112" s="191" t="s">
        <v>465</v>
      </c>
      <c r="C112" s="191" t="s">
        <v>1507</v>
      </c>
      <c r="D112" s="191" t="s">
        <v>1508</v>
      </c>
      <c r="E112" s="191" t="s">
        <v>1509</v>
      </c>
      <c r="F112" s="191" t="s">
        <v>1001</v>
      </c>
      <c r="G112" s="191" t="s">
        <v>1510</v>
      </c>
    </row>
    <row r="113" spans="1:7" ht="409.6" thickBot="1">
      <c r="A113" s="191" t="s">
        <v>340</v>
      </c>
      <c r="B113" s="191" t="s">
        <v>341</v>
      </c>
      <c r="C113" s="191" t="s">
        <v>1511</v>
      </c>
      <c r="D113" s="191" t="s">
        <v>1512</v>
      </c>
      <c r="E113" s="191" t="s">
        <v>1513</v>
      </c>
      <c r="F113" s="191" t="s">
        <v>1001</v>
      </c>
      <c r="G113" s="191" t="s">
        <v>1514</v>
      </c>
    </row>
    <row r="114" spans="1:7" ht="409.6" thickBot="1">
      <c r="A114" s="191" t="s">
        <v>340</v>
      </c>
      <c r="B114" s="191" t="s">
        <v>367</v>
      </c>
      <c r="C114" s="191" t="s">
        <v>1515</v>
      </c>
      <c r="D114" s="191" t="s">
        <v>1516</v>
      </c>
      <c r="E114" s="191" t="s">
        <v>1517</v>
      </c>
      <c r="F114" s="191" t="s">
        <v>622</v>
      </c>
      <c r="G114" s="191" t="s">
        <v>1518</v>
      </c>
    </row>
    <row r="115" spans="1:7" ht="264.75" thickBot="1">
      <c r="A115" s="191" t="s">
        <v>374</v>
      </c>
      <c r="B115" s="191" t="s">
        <v>774</v>
      </c>
      <c r="C115" s="191" t="s">
        <v>914</v>
      </c>
      <c r="D115" s="191" t="s">
        <v>904</v>
      </c>
      <c r="E115" s="191" t="s">
        <v>904</v>
      </c>
      <c r="F115" s="191" t="s">
        <v>904</v>
      </c>
      <c r="G115" s="191" t="s">
        <v>1519</v>
      </c>
    </row>
    <row r="116" spans="1:7" ht="165.75" thickBot="1">
      <c r="A116" s="191" t="s">
        <v>466</v>
      </c>
      <c r="B116" s="191" t="s">
        <v>775</v>
      </c>
      <c r="C116" s="191" t="s">
        <v>1520</v>
      </c>
      <c r="D116" s="191" t="s">
        <v>1521</v>
      </c>
      <c r="E116" s="191" t="s">
        <v>1522</v>
      </c>
      <c r="F116" s="191" t="s">
        <v>1346</v>
      </c>
      <c r="G116" s="191" t="s">
        <v>1523</v>
      </c>
    </row>
    <row r="117" spans="1:7" ht="198.75" thickBot="1">
      <c r="A117" s="191" t="s">
        <v>466</v>
      </c>
      <c r="B117" s="191" t="s">
        <v>775</v>
      </c>
      <c r="C117" s="191" t="s">
        <v>1524</v>
      </c>
      <c r="D117" s="191" t="s">
        <v>1525</v>
      </c>
      <c r="E117" s="191" t="s">
        <v>1526</v>
      </c>
      <c r="F117" s="191" t="s">
        <v>1358</v>
      </c>
      <c r="G117" s="191" t="s">
        <v>1527</v>
      </c>
    </row>
    <row r="118" spans="1:7" ht="198.75" thickBot="1">
      <c r="A118" s="191" t="s">
        <v>57</v>
      </c>
      <c r="B118" s="191" t="s">
        <v>58</v>
      </c>
      <c r="C118" s="191" t="s">
        <v>1528</v>
      </c>
      <c r="D118" s="191" t="s">
        <v>1529</v>
      </c>
      <c r="E118" s="191" t="s">
        <v>1530</v>
      </c>
      <c r="F118" s="191" t="s">
        <v>668</v>
      </c>
      <c r="G118" s="191" t="s">
        <v>1531</v>
      </c>
    </row>
    <row r="119" spans="1:7" ht="182.25" thickBot="1">
      <c r="A119" s="191" t="s">
        <v>422</v>
      </c>
      <c r="B119" s="191" t="s">
        <v>423</v>
      </c>
      <c r="C119" s="191" t="s">
        <v>914</v>
      </c>
      <c r="D119" s="191" t="s">
        <v>904</v>
      </c>
      <c r="E119" s="191" t="s">
        <v>904</v>
      </c>
      <c r="F119" s="191" t="s">
        <v>904</v>
      </c>
      <c r="G119" s="191" t="s">
        <v>1532</v>
      </c>
    </row>
    <row r="120" spans="1:7" ht="99.75" thickBot="1">
      <c r="A120" s="191" t="s">
        <v>222</v>
      </c>
      <c r="B120" s="191" t="s">
        <v>223</v>
      </c>
      <c r="C120" s="191" t="s">
        <v>1371</v>
      </c>
      <c r="D120" s="191" t="s">
        <v>1533</v>
      </c>
      <c r="E120" s="191" t="s">
        <v>1534</v>
      </c>
      <c r="F120" s="191" t="s">
        <v>1535</v>
      </c>
      <c r="G120" s="191" t="s">
        <v>1536</v>
      </c>
    </row>
    <row r="121" spans="1:7" ht="83.25" thickBot="1">
      <c r="A121" s="191" t="s">
        <v>222</v>
      </c>
      <c r="B121" s="191" t="s">
        <v>223</v>
      </c>
      <c r="C121" s="191" t="s">
        <v>1376</v>
      </c>
      <c r="D121" s="191" t="s">
        <v>1537</v>
      </c>
      <c r="E121" s="191" t="s">
        <v>1534</v>
      </c>
      <c r="F121" s="191" t="s">
        <v>1535</v>
      </c>
      <c r="G121" s="191" t="s">
        <v>1538</v>
      </c>
    </row>
    <row r="122" spans="1:7" ht="99.75" thickBot="1">
      <c r="A122" s="191" t="s">
        <v>222</v>
      </c>
      <c r="B122" s="191" t="s">
        <v>223</v>
      </c>
      <c r="C122" s="191" t="s">
        <v>1379</v>
      </c>
      <c r="D122" s="191" t="s">
        <v>1539</v>
      </c>
      <c r="E122" s="191" t="s">
        <v>1534</v>
      </c>
      <c r="F122" s="191" t="s">
        <v>1535</v>
      </c>
      <c r="G122" s="191" t="s">
        <v>1540</v>
      </c>
    </row>
    <row r="123" spans="1:7" ht="116.25" thickBot="1">
      <c r="A123" s="191" t="s">
        <v>222</v>
      </c>
      <c r="B123" s="191" t="s">
        <v>223</v>
      </c>
      <c r="C123" s="191" t="s">
        <v>1382</v>
      </c>
      <c r="D123" s="191" t="s">
        <v>1541</v>
      </c>
      <c r="E123" s="191" t="s">
        <v>1534</v>
      </c>
      <c r="F123" s="191" t="s">
        <v>1535</v>
      </c>
      <c r="G123" s="191" t="s">
        <v>1542</v>
      </c>
    </row>
    <row r="124" spans="1:7" ht="66.75" thickBot="1">
      <c r="A124" s="191" t="s">
        <v>229</v>
      </c>
      <c r="B124" s="191" t="s">
        <v>223</v>
      </c>
      <c r="C124" s="191" t="s">
        <v>1371</v>
      </c>
      <c r="D124" s="191" t="s">
        <v>1543</v>
      </c>
      <c r="E124" s="191" t="s">
        <v>1544</v>
      </c>
      <c r="F124" s="191" t="s">
        <v>1535</v>
      </c>
      <c r="G124" s="191" t="s">
        <v>1545</v>
      </c>
    </row>
    <row r="125" spans="1:7" ht="83.25" thickBot="1">
      <c r="A125" s="191" t="s">
        <v>229</v>
      </c>
      <c r="B125" s="191" t="s">
        <v>223</v>
      </c>
      <c r="C125" s="191" t="s">
        <v>1376</v>
      </c>
      <c r="D125" s="191" t="s">
        <v>1546</v>
      </c>
      <c r="E125" s="191" t="s">
        <v>1544</v>
      </c>
      <c r="F125" s="191" t="s">
        <v>1535</v>
      </c>
      <c r="G125" s="191" t="s">
        <v>1547</v>
      </c>
    </row>
    <row r="126" spans="1:7" ht="83.25" thickBot="1">
      <c r="A126" s="191" t="s">
        <v>229</v>
      </c>
      <c r="B126" s="191" t="s">
        <v>223</v>
      </c>
      <c r="C126" s="191" t="s">
        <v>1379</v>
      </c>
      <c r="D126" s="191" t="s">
        <v>1548</v>
      </c>
      <c r="E126" s="191" t="s">
        <v>1544</v>
      </c>
      <c r="F126" s="191" t="s">
        <v>1535</v>
      </c>
      <c r="G126" s="191" t="s">
        <v>1549</v>
      </c>
    </row>
    <row r="127" spans="1:7" ht="99.75" thickBot="1">
      <c r="A127" s="191" t="s">
        <v>229</v>
      </c>
      <c r="B127" s="191" t="s">
        <v>223</v>
      </c>
      <c r="C127" s="191" t="s">
        <v>1382</v>
      </c>
      <c r="D127" s="191" t="s">
        <v>1550</v>
      </c>
      <c r="E127" s="191" t="s">
        <v>1544</v>
      </c>
      <c r="F127" s="191" t="s">
        <v>1535</v>
      </c>
      <c r="G127" s="191" t="s">
        <v>1551</v>
      </c>
    </row>
    <row r="128" spans="1:7" ht="149.25" thickBot="1">
      <c r="A128" s="191" t="s">
        <v>230</v>
      </c>
      <c r="B128" s="191" t="s">
        <v>223</v>
      </c>
      <c r="C128" s="191" t="s">
        <v>1552</v>
      </c>
      <c r="D128" s="191" t="s">
        <v>1553</v>
      </c>
      <c r="E128" s="191" t="s">
        <v>1544</v>
      </c>
      <c r="F128" s="191" t="s">
        <v>1535</v>
      </c>
      <c r="G128" s="191" t="s">
        <v>1554</v>
      </c>
    </row>
    <row r="129" spans="1:7" ht="83.25" thickBot="1">
      <c r="A129" s="191" t="s">
        <v>231</v>
      </c>
      <c r="B129" s="191" t="s">
        <v>223</v>
      </c>
      <c r="C129" s="191" t="s">
        <v>1552</v>
      </c>
      <c r="D129" s="191" t="s">
        <v>1555</v>
      </c>
      <c r="E129" s="191" t="s">
        <v>1544</v>
      </c>
      <c r="F129" s="191" t="s">
        <v>1535</v>
      </c>
      <c r="G129" s="191" t="s">
        <v>1556</v>
      </c>
    </row>
    <row r="130" spans="1:7" ht="116.25" thickBot="1">
      <c r="A130" s="191" t="s">
        <v>232</v>
      </c>
      <c r="B130" s="191" t="s">
        <v>223</v>
      </c>
      <c r="C130" s="191" t="s">
        <v>1552</v>
      </c>
      <c r="D130" s="191" t="s">
        <v>1557</v>
      </c>
      <c r="E130" s="191" t="s">
        <v>1544</v>
      </c>
      <c r="F130" s="191" t="s">
        <v>1535</v>
      </c>
      <c r="G130" s="191" t="s">
        <v>1558</v>
      </c>
    </row>
    <row r="131" spans="1:7" ht="83.25" thickBot="1">
      <c r="A131" s="191" t="s">
        <v>233</v>
      </c>
      <c r="B131" s="191" t="s">
        <v>223</v>
      </c>
      <c r="C131" s="191" t="s">
        <v>1552</v>
      </c>
      <c r="D131" s="191" t="s">
        <v>1559</v>
      </c>
      <c r="E131" s="191" t="s">
        <v>1544</v>
      </c>
      <c r="F131" s="191" t="s">
        <v>1535</v>
      </c>
      <c r="G131" s="191" t="s">
        <v>1560</v>
      </c>
    </row>
    <row r="132" spans="1:7" ht="116.25" thickBot="1">
      <c r="A132" s="191" t="s">
        <v>234</v>
      </c>
      <c r="B132" s="191" t="s">
        <v>223</v>
      </c>
      <c r="C132" s="191" t="s">
        <v>1552</v>
      </c>
      <c r="D132" s="191" t="s">
        <v>1561</v>
      </c>
      <c r="E132" s="191" t="s">
        <v>1544</v>
      </c>
      <c r="F132" s="191" t="s">
        <v>1535</v>
      </c>
      <c r="G132" s="191" t="s">
        <v>1562</v>
      </c>
    </row>
    <row r="133" spans="1:7" ht="116.25" thickBot="1">
      <c r="A133" s="191" t="s">
        <v>235</v>
      </c>
      <c r="B133" s="191" t="s">
        <v>223</v>
      </c>
      <c r="C133" s="191" t="s">
        <v>1552</v>
      </c>
      <c r="D133" s="191" t="s">
        <v>1563</v>
      </c>
      <c r="E133" s="191" t="s">
        <v>1544</v>
      </c>
      <c r="F133" s="191" t="s">
        <v>1535</v>
      </c>
      <c r="G133" s="191" t="s">
        <v>1564</v>
      </c>
    </row>
    <row r="134" spans="1:7" ht="99.75" thickBot="1">
      <c r="A134" s="191" t="s">
        <v>236</v>
      </c>
      <c r="B134" s="191" t="s">
        <v>223</v>
      </c>
      <c r="C134" s="191" t="s">
        <v>1552</v>
      </c>
      <c r="D134" s="191" t="s">
        <v>1565</v>
      </c>
      <c r="E134" s="191" t="s">
        <v>1544</v>
      </c>
      <c r="F134" s="191" t="s">
        <v>1535</v>
      </c>
      <c r="G134" s="191" t="s">
        <v>1566</v>
      </c>
    </row>
    <row r="135" spans="1:7" ht="116.25" thickBot="1">
      <c r="A135" s="191" t="s">
        <v>237</v>
      </c>
      <c r="B135" s="191" t="s">
        <v>223</v>
      </c>
      <c r="C135" s="191" t="s">
        <v>1552</v>
      </c>
      <c r="D135" s="191" t="s">
        <v>1567</v>
      </c>
      <c r="E135" s="191" t="s">
        <v>1544</v>
      </c>
      <c r="F135" s="191" t="s">
        <v>1535</v>
      </c>
      <c r="G135" s="191" t="s">
        <v>1568</v>
      </c>
    </row>
    <row r="136" spans="1:7" ht="132.75" thickBot="1">
      <c r="A136" s="191" t="s">
        <v>238</v>
      </c>
      <c r="B136" s="191" t="s">
        <v>223</v>
      </c>
      <c r="C136" s="191" t="s">
        <v>1552</v>
      </c>
      <c r="D136" s="191" t="s">
        <v>1569</v>
      </c>
      <c r="E136" s="191" t="s">
        <v>1544</v>
      </c>
      <c r="F136" s="191" t="s">
        <v>1535</v>
      </c>
      <c r="G136" s="191" t="s">
        <v>1570</v>
      </c>
    </row>
    <row r="137" spans="1:7" ht="116.25" thickBot="1">
      <c r="A137" s="191" t="s">
        <v>239</v>
      </c>
      <c r="B137" s="191" t="s">
        <v>223</v>
      </c>
      <c r="C137" s="191" t="s">
        <v>1552</v>
      </c>
      <c r="D137" s="191" t="s">
        <v>1571</v>
      </c>
      <c r="E137" s="191" t="s">
        <v>1544</v>
      </c>
      <c r="F137" s="191" t="s">
        <v>1535</v>
      </c>
      <c r="G137" s="191" t="s">
        <v>1572</v>
      </c>
    </row>
    <row r="138" spans="1:7" ht="99.75" thickBot="1">
      <c r="A138" s="191" t="s">
        <v>240</v>
      </c>
      <c r="B138" s="191" t="s">
        <v>223</v>
      </c>
      <c r="C138" s="191" t="s">
        <v>1552</v>
      </c>
      <c r="D138" s="191" t="s">
        <v>1573</v>
      </c>
      <c r="E138" s="191" t="s">
        <v>1544</v>
      </c>
      <c r="F138" s="191" t="s">
        <v>1535</v>
      </c>
      <c r="G138" s="191" t="s">
        <v>1574</v>
      </c>
    </row>
    <row r="139" spans="1:7" ht="132.75" thickBot="1">
      <c r="A139" s="191" t="s">
        <v>241</v>
      </c>
      <c r="B139" s="191" t="s">
        <v>223</v>
      </c>
      <c r="C139" s="191" t="s">
        <v>1552</v>
      </c>
      <c r="D139" s="191" t="s">
        <v>1575</v>
      </c>
      <c r="E139" s="191" t="s">
        <v>1544</v>
      </c>
      <c r="F139" s="191" t="s">
        <v>1535</v>
      </c>
      <c r="G139" s="191" t="s">
        <v>1576</v>
      </c>
    </row>
    <row r="140" spans="1:7" ht="116.25" thickBot="1">
      <c r="A140" s="191" t="s">
        <v>242</v>
      </c>
      <c r="B140" s="191" t="s">
        <v>223</v>
      </c>
      <c r="C140" s="191" t="s">
        <v>1552</v>
      </c>
      <c r="D140" s="191" t="s">
        <v>1577</v>
      </c>
      <c r="E140" s="191" t="s">
        <v>1544</v>
      </c>
      <c r="F140" s="191" t="s">
        <v>1535</v>
      </c>
      <c r="G140" s="191" t="s">
        <v>1578</v>
      </c>
    </row>
    <row r="141" spans="1:7" ht="17.25" thickBot="1">
      <c r="A141" s="190" t="s">
        <v>1579</v>
      </c>
      <c r="B141" s="190" t="s">
        <v>559</v>
      </c>
      <c r="C141" s="190" t="s">
        <v>850</v>
      </c>
      <c r="D141" s="190" t="s">
        <v>596</v>
      </c>
      <c r="E141" s="190" t="s">
        <v>1580</v>
      </c>
      <c r="F141" s="190" t="s">
        <v>931</v>
      </c>
      <c r="G141" s="190" t="s">
        <v>599</v>
      </c>
    </row>
    <row r="142" spans="1:7" ht="66.75" thickBot="1">
      <c r="A142" s="191" t="s">
        <v>113</v>
      </c>
      <c r="B142" s="191" t="s">
        <v>114</v>
      </c>
      <c r="C142" s="191" t="s">
        <v>914</v>
      </c>
      <c r="D142" s="191" t="s">
        <v>904</v>
      </c>
      <c r="E142" s="191" t="s">
        <v>904</v>
      </c>
      <c r="F142" s="191" t="s">
        <v>904</v>
      </c>
      <c r="G142" s="191" t="s">
        <v>1581</v>
      </c>
    </row>
    <row r="143" spans="1:7" ht="66.75" thickBot="1">
      <c r="A143" s="191" t="s">
        <v>140</v>
      </c>
      <c r="B143" s="191" t="s">
        <v>140</v>
      </c>
      <c r="C143" s="191" t="s">
        <v>914</v>
      </c>
      <c r="D143" s="191" t="s">
        <v>904</v>
      </c>
      <c r="E143" s="191" t="s">
        <v>904</v>
      </c>
      <c r="F143" s="191" t="s">
        <v>904</v>
      </c>
      <c r="G143" s="191" t="s">
        <v>1582</v>
      </c>
    </row>
    <row r="144" spans="1:7" ht="50.25" thickBot="1">
      <c r="A144" s="191" t="s">
        <v>157</v>
      </c>
      <c r="B144" s="191" t="s">
        <v>157</v>
      </c>
      <c r="C144" s="191" t="s">
        <v>1583</v>
      </c>
      <c r="D144" s="191" t="s">
        <v>1584</v>
      </c>
      <c r="E144" s="191" t="s">
        <v>1585</v>
      </c>
      <c r="F144" s="191" t="s">
        <v>1586</v>
      </c>
      <c r="G144" s="191" t="s">
        <v>1587</v>
      </c>
    </row>
    <row r="145" spans="1:7" ht="66.75" thickBot="1">
      <c r="A145" s="191" t="s">
        <v>75</v>
      </c>
      <c r="B145" s="191" t="s">
        <v>75</v>
      </c>
      <c r="C145" s="191" t="s">
        <v>914</v>
      </c>
      <c r="D145" s="191" t="s">
        <v>904</v>
      </c>
      <c r="E145" s="191" t="s">
        <v>904</v>
      </c>
      <c r="F145" s="191" t="s">
        <v>904</v>
      </c>
      <c r="G145" s="191" t="s">
        <v>1582</v>
      </c>
    </row>
    <row r="146" spans="1:7" ht="50.25" thickBot="1">
      <c r="A146" s="191" t="s">
        <v>277</v>
      </c>
      <c r="B146" s="191" t="s">
        <v>278</v>
      </c>
      <c r="C146" s="191" t="s">
        <v>1588</v>
      </c>
      <c r="D146" s="191" t="s">
        <v>1589</v>
      </c>
      <c r="E146" s="191" t="s">
        <v>1590</v>
      </c>
      <c r="F146" s="191" t="s">
        <v>1591</v>
      </c>
      <c r="G146" s="191" t="s">
        <v>1592</v>
      </c>
    </row>
    <row r="147" spans="1:7" ht="50.25" thickBot="1">
      <c r="A147" s="191" t="s">
        <v>283</v>
      </c>
      <c r="B147" s="191" t="s">
        <v>284</v>
      </c>
      <c r="C147" s="191" t="s">
        <v>914</v>
      </c>
      <c r="D147" s="191" t="s">
        <v>904</v>
      </c>
      <c r="E147" s="191" t="s">
        <v>904</v>
      </c>
      <c r="F147" s="191" t="s">
        <v>904</v>
      </c>
      <c r="G147" s="191" t="s">
        <v>1593</v>
      </c>
    </row>
    <row r="148" spans="1:7" ht="50.25" thickBot="1">
      <c r="A148" s="191" t="s">
        <v>522</v>
      </c>
      <c r="B148" s="191" t="s">
        <v>522</v>
      </c>
      <c r="C148" s="191" t="s">
        <v>1594</v>
      </c>
      <c r="D148" s="191" t="s">
        <v>1595</v>
      </c>
      <c r="E148" s="191" t="s">
        <v>1596</v>
      </c>
      <c r="F148" s="191" t="s">
        <v>1586</v>
      </c>
      <c r="G148" s="191" t="s">
        <v>1597</v>
      </c>
    </row>
    <row r="149" spans="1:7" ht="66.75" thickBot="1">
      <c r="A149" s="191" t="s">
        <v>517</v>
      </c>
      <c r="B149" s="191" t="s">
        <v>517</v>
      </c>
      <c r="C149" s="191" t="s">
        <v>914</v>
      </c>
      <c r="D149" s="191" t="s">
        <v>904</v>
      </c>
      <c r="E149" s="191" t="s">
        <v>904</v>
      </c>
      <c r="F149" s="191" t="s">
        <v>904</v>
      </c>
      <c r="G149" s="191" t="s">
        <v>1582</v>
      </c>
    </row>
    <row r="150" spans="1:7" ht="50.25" thickBot="1">
      <c r="A150" s="191" t="s">
        <v>504</v>
      </c>
      <c r="B150" s="191" t="s">
        <v>1598</v>
      </c>
      <c r="C150" s="191" t="s">
        <v>914</v>
      </c>
      <c r="D150" s="191" t="s">
        <v>904</v>
      </c>
      <c r="E150" s="191" t="s">
        <v>904</v>
      </c>
      <c r="F150" s="191" t="s">
        <v>904</v>
      </c>
      <c r="G150" s="191" t="s">
        <v>1599</v>
      </c>
    </row>
    <row r="151" spans="1:7" ht="50.25" thickBot="1">
      <c r="A151" s="191" t="s">
        <v>404</v>
      </c>
      <c r="B151" s="191" t="s">
        <v>404</v>
      </c>
      <c r="C151" s="191" t="s">
        <v>914</v>
      </c>
      <c r="D151" s="191" t="s">
        <v>904</v>
      </c>
      <c r="E151" s="191" t="s">
        <v>904</v>
      </c>
      <c r="F151" s="191" t="s">
        <v>904</v>
      </c>
      <c r="G151" s="191" t="s">
        <v>1600</v>
      </c>
    </row>
    <row r="152" spans="1:7" ht="66.75" thickBot="1">
      <c r="A152" s="191" t="s">
        <v>438</v>
      </c>
      <c r="B152" s="191" t="s">
        <v>438</v>
      </c>
      <c r="C152" s="191" t="s">
        <v>1601</v>
      </c>
      <c r="D152" s="191" t="s">
        <v>1602</v>
      </c>
      <c r="E152" s="191" t="s">
        <v>1603</v>
      </c>
      <c r="F152" s="191" t="s">
        <v>1604</v>
      </c>
      <c r="G152" s="191" t="s">
        <v>1605</v>
      </c>
    </row>
    <row r="153" spans="1:7" ht="50.25" thickBot="1">
      <c r="A153" s="191" t="s">
        <v>504</v>
      </c>
      <c r="B153" s="191" t="s">
        <v>505</v>
      </c>
      <c r="C153" s="191" t="s">
        <v>914</v>
      </c>
      <c r="D153" s="191" t="s">
        <v>904</v>
      </c>
      <c r="E153" s="191" t="s">
        <v>904</v>
      </c>
      <c r="F153" s="191" t="s">
        <v>904</v>
      </c>
      <c r="G153" s="191" t="s">
        <v>1606</v>
      </c>
    </row>
    <row r="154" spans="1:7" ht="83.25" thickBot="1">
      <c r="A154" s="191" t="s">
        <v>53</v>
      </c>
      <c r="B154" s="191" t="s">
        <v>745</v>
      </c>
      <c r="C154" s="191" t="s">
        <v>1607</v>
      </c>
      <c r="D154" s="191" t="s">
        <v>1608</v>
      </c>
      <c r="E154" s="191" t="s">
        <v>1609</v>
      </c>
      <c r="F154" s="191" t="s">
        <v>1610</v>
      </c>
      <c r="G154" s="191" t="s">
        <v>1611</v>
      </c>
    </row>
    <row r="155" spans="1:7" ht="66.75" thickBot="1">
      <c r="A155" s="191" t="s">
        <v>514</v>
      </c>
      <c r="B155" s="191" t="s">
        <v>746</v>
      </c>
      <c r="C155" s="191" t="s">
        <v>1612</v>
      </c>
      <c r="D155" s="191" t="s">
        <v>1613</v>
      </c>
      <c r="E155" s="191" t="s">
        <v>1614</v>
      </c>
      <c r="F155" s="191" t="s">
        <v>1615</v>
      </c>
      <c r="G155" s="191" t="s">
        <v>1616</v>
      </c>
    </row>
    <row r="156" spans="1:7" ht="50.25" thickBot="1">
      <c r="A156" s="191" t="s">
        <v>88</v>
      </c>
      <c r="B156" s="191" t="s">
        <v>88</v>
      </c>
      <c r="C156" s="191" t="s">
        <v>914</v>
      </c>
      <c r="D156" s="191" t="s">
        <v>904</v>
      </c>
      <c r="E156" s="191" t="s">
        <v>904</v>
      </c>
      <c r="F156" s="191" t="s">
        <v>904</v>
      </c>
      <c r="G156" s="191" t="s">
        <v>1617</v>
      </c>
    </row>
    <row r="157" spans="1:7" ht="50.25" thickBot="1">
      <c r="A157" s="191" t="s">
        <v>502</v>
      </c>
      <c r="B157" s="191" t="s">
        <v>503</v>
      </c>
      <c r="C157" s="191" t="s">
        <v>914</v>
      </c>
      <c r="D157" s="191" t="s">
        <v>904</v>
      </c>
      <c r="E157" s="191" t="s">
        <v>904</v>
      </c>
      <c r="F157" s="191" t="s">
        <v>904</v>
      </c>
      <c r="G157" s="191" t="s">
        <v>1618</v>
      </c>
    </row>
    <row r="158" spans="1:7" ht="50.25" thickBot="1">
      <c r="A158" s="191" t="s">
        <v>58</v>
      </c>
      <c r="B158" s="191" t="s">
        <v>58</v>
      </c>
      <c r="C158" s="191" t="s">
        <v>1619</v>
      </c>
      <c r="D158" s="191" t="s">
        <v>1620</v>
      </c>
      <c r="E158" s="191" t="s">
        <v>1621</v>
      </c>
      <c r="F158" s="191" t="s">
        <v>1622</v>
      </c>
      <c r="G158" s="191" t="s">
        <v>1623</v>
      </c>
    </row>
    <row r="159" spans="1:7" ht="50.25" thickBot="1">
      <c r="A159" s="191" t="s">
        <v>142</v>
      </c>
      <c r="B159" s="191" t="s">
        <v>143</v>
      </c>
      <c r="C159" s="191" t="s">
        <v>914</v>
      </c>
      <c r="D159" s="191" t="s">
        <v>904</v>
      </c>
      <c r="E159" s="191" t="s">
        <v>904</v>
      </c>
      <c r="F159" s="191" t="s">
        <v>904</v>
      </c>
      <c r="G159" s="191" t="s">
        <v>1624</v>
      </c>
    </row>
    <row r="160" spans="1:7" ht="50.25" thickBot="1">
      <c r="A160" s="191" t="s">
        <v>136</v>
      </c>
      <c r="B160" s="191" t="s">
        <v>137</v>
      </c>
      <c r="C160" s="191" t="s">
        <v>914</v>
      </c>
      <c r="D160" s="191" t="s">
        <v>904</v>
      </c>
      <c r="E160" s="191" t="s">
        <v>904</v>
      </c>
      <c r="F160" s="191" t="s">
        <v>904</v>
      </c>
      <c r="G160" s="191" t="s">
        <v>1625</v>
      </c>
    </row>
    <row r="161" spans="1:7" ht="33.75" thickBot="1">
      <c r="A161" s="191" t="s">
        <v>521</v>
      </c>
      <c r="B161" s="191" t="s">
        <v>521</v>
      </c>
      <c r="C161" s="191" t="s">
        <v>914</v>
      </c>
      <c r="D161" s="191" t="s">
        <v>904</v>
      </c>
      <c r="E161" s="191" t="s">
        <v>904</v>
      </c>
      <c r="F161" s="191" t="s">
        <v>904</v>
      </c>
      <c r="G161" s="191" t="s">
        <v>1626</v>
      </c>
    </row>
    <row r="162" spans="1:7" ht="50.25" thickBot="1">
      <c r="A162" s="191" t="s">
        <v>333</v>
      </c>
      <c r="B162" s="191" t="s">
        <v>334</v>
      </c>
      <c r="C162" s="191" t="s">
        <v>914</v>
      </c>
      <c r="D162" s="191" t="s">
        <v>904</v>
      </c>
      <c r="E162" s="191" t="s">
        <v>904</v>
      </c>
      <c r="F162" s="191" t="s">
        <v>904</v>
      </c>
      <c r="G162" s="191" t="s">
        <v>1627</v>
      </c>
    </row>
    <row r="163" spans="1:7" ht="66.75" thickBot="1">
      <c r="A163" s="191" t="s">
        <v>124</v>
      </c>
      <c r="B163" s="191" t="s">
        <v>1628</v>
      </c>
      <c r="C163" s="191" t="s">
        <v>1629</v>
      </c>
      <c r="D163" s="191" t="s">
        <v>1630</v>
      </c>
      <c r="E163" s="191" t="s">
        <v>1631</v>
      </c>
      <c r="F163" s="191" t="s">
        <v>1632</v>
      </c>
      <c r="G163" s="191" t="s">
        <v>1633</v>
      </c>
    </row>
    <row r="164" spans="1:7" ht="50.25" thickBot="1">
      <c r="A164" s="191" t="s">
        <v>1634</v>
      </c>
      <c r="B164" s="191" t="s">
        <v>1635</v>
      </c>
      <c r="C164" s="191" t="s">
        <v>914</v>
      </c>
      <c r="D164" s="191" t="s">
        <v>904</v>
      </c>
      <c r="E164" s="191" t="s">
        <v>904</v>
      </c>
      <c r="F164" s="191" t="s">
        <v>904</v>
      </c>
      <c r="G164" s="191" t="s">
        <v>1636</v>
      </c>
    </row>
    <row r="165" spans="1:7" ht="66.75" thickBot="1">
      <c r="A165" s="191" t="s">
        <v>1634</v>
      </c>
      <c r="B165" s="191" t="s">
        <v>289</v>
      </c>
      <c r="C165" s="191" t="s">
        <v>1637</v>
      </c>
      <c r="D165" s="191" t="s">
        <v>1638</v>
      </c>
      <c r="E165" s="191" t="s">
        <v>1639</v>
      </c>
      <c r="F165" s="191" t="s">
        <v>1640</v>
      </c>
      <c r="G165" s="191" t="s">
        <v>1641</v>
      </c>
    </row>
    <row r="166" spans="1:7" ht="33.75" thickBot="1">
      <c r="A166" s="190" t="s">
        <v>1642</v>
      </c>
      <c r="B166" s="190" t="s">
        <v>559</v>
      </c>
      <c r="C166" s="190" t="s">
        <v>850</v>
      </c>
      <c r="D166" s="190" t="s">
        <v>596</v>
      </c>
      <c r="E166" s="190" t="s">
        <v>851</v>
      </c>
      <c r="F166" s="190" t="s">
        <v>598</v>
      </c>
      <c r="G166" s="190" t="s">
        <v>599</v>
      </c>
    </row>
    <row r="167" spans="1:7" ht="83.25" thickBot="1">
      <c r="A167" s="191" t="s">
        <v>98</v>
      </c>
      <c r="B167" s="191" t="s">
        <v>99</v>
      </c>
      <c r="C167" s="191" t="s">
        <v>914</v>
      </c>
      <c r="D167" s="191" t="s">
        <v>904</v>
      </c>
      <c r="E167" s="191" t="s">
        <v>904</v>
      </c>
      <c r="F167" s="191" t="s">
        <v>904</v>
      </c>
      <c r="G167" s="191" t="s">
        <v>1643</v>
      </c>
    </row>
    <row r="168" spans="1:7" ht="409.6" thickBot="1">
      <c r="A168" s="191" t="s">
        <v>98</v>
      </c>
      <c r="B168" s="191" t="s">
        <v>102</v>
      </c>
      <c r="C168" s="191" t="s">
        <v>1644</v>
      </c>
      <c r="D168" s="191" t="s">
        <v>1645</v>
      </c>
      <c r="E168" s="191" t="s">
        <v>1646</v>
      </c>
      <c r="F168" s="191" t="s">
        <v>622</v>
      </c>
      <c r="G168" s="191" t="s">
        <v>1647</v>
      </c>
    </row>
    <row r="169" spans="1:7" ht="330.75" thickBot="1">
      <c r="A169" s="191" t="s">
        <v>98</v>
      </c>
      <c r="B169" s="191" t="s">
        <v>103</v>
      </c>
      <c r="C169" s="191" t="s">
        <v>1648</v>
      </c>
      <c r="D169" s="191" t="s">
        <v>1649</v>
      </c>
      <c r="E169" s="191" t="s">
        <v>1650</v>
      </c>
      <c r="F169" s="191" t="s">
        <v>1001</v>
      </c>
      <c r="G169" s="191" t="s">
        <v>1651</v>
      </c>
    </row>
    <row r="170" spans="1:7" ht="66.75" thickBot="1">
      <c r="A170" s="191" t="s">
        <v>98</v>
      </c>
      <c r="B170" s="191" t="s">
        <v>104</v>
      </c>
      <c r="C170" s="191" t="s">
        <v>914</v>
      </c>
      <c r="D170" s="191" t="s">
        <v>904</v>
      </c>
      <c r="E170" s="191" t="s">
        <v>904</v>
      </c>
      <c r="F170" s="191" t="s">
        <v>904</v>
      </c>
      <c r="G170" s="191" t="s">
        <v>1652</v>
      </c>
    </row>
    <row r="171" spans="1:7" ht="347.25" thickBot="1">
      <c r="A171" s="191" t="s">
        <v>98</v>
      </c>
      <c r="B171" s="191" t="s">
        <v>105</v>
      </c>
      <c r="C171" s="191" t="s">
        <v>1653</v>
      </c>
      <c r="D171" s="191" t="s">
        <v>1654</v>
      </c>
      <c r="E171" s="191" t="s">
        <v>1650</v>
      </c>
      <c r="F171" s="191" t="s">
        <v>1001</v>
      </c>
      <c r="G171" s="191" t="s">
        <v>1655</v>
      </c>
    </row>
    <row r="172" spans="1:7" ht="409.6" thickBot="1">
      <c r="A172" s="191" t="s">
        <v>98</v>
      </c>
      <c r="B172" s="191" t="s">
        <v>105</v>
      </c>
      <c r="C172" s="191" t="s">
        <v>1656</v>
      </c>
      <c r="D172" s="191" t="s">
        <v>1657</v>
      </c>
      <c r="E172" s="191" t="s">
        <v>1650</v>
      </c>
      <c r="F172" s="191" t="s">
        <v>1001</v>
      </c>
      <c r="G172" s="191" t="s">
        <v>1658</v>
      </c>
    </row>
    <row r="173" spans="1:7" ht="409.6" thickBot="1">
      <c r="A173" s="191" t="s">
        <v>98</v>
      </c>
      <c r="B173" s="191" t="s">
        <v>105</v>
      </c>
      <c r="C173" s="191" t="s">
        <v>1659</v>
      </c>
      <c r="D173" s="191" t="s">
        <v>1660</v>
      </c>
      <c r="E173" s="191" t="s">
        <v>1650</v>
      </c>
      <c r="F173" s="191" t="s">
        <v>622</v>
      </c>
      <c r="G173" s="191" t="s">
        <v>1661</v>
      </c>
    </row>
    <row r="174" spans="1:7" ht="409.6" thickBot="1">
      <c r="A174" s="191" t="s">
        <v>98</v>
      </c>
      <c r="B174" s="191" t="s">
        <v>105</v>
      </c>
      <c r="C174" s="191" t="s">
        <v>1662</v>
      </c>
      <c r="D174" s="191" t="s">
        <v>1663</v>
      </c>
      <c r="E174" s="191" t="s">
        <v>1650</v>
      </c>
      <c r="F174" s="191" t="s">
        <v>1001</v>
      </c>
      <c r="G174" s="191" t="s">
        <v>1664</v>
      </c>
    </row>
    <row r="175" spans="1:7" ht="409.6" thickBot="1">
      <c r="A175" s="191" t="s">
        <v>98</v>
      </c>
      <c r="B175" s="191" t="s">
        <v>105</v>
      </c>
      <c r="C175" s="191" t="s">
        <v>1665</v>
      </c>
      <c r="D175" s="191" t="s">
        <v>1666</v>
      </c>
      <c r="E175" s="191" t="s">
        <v>1667</v>
      </c>
      <c r="F175" s="191" t="s">
        <v>622</v>
      </c>
      <c r="G175" s="191" t="s">
        <v>1668</v>
      </c>
    </row>
    <row r="176" spans="1:7" ht="330.75" thickBot="1">
      <c r="A176" s="191" t="s">
        <v>98</v>
      </c>
      <c r="B176" s="191" t="s">
        <v>1669</v>
      </c>
      <c r="C176" s="191" t="s">
        <v>914</v>
      </c>
      <c r="D176" s="191" t="s">
        <v>904</v>
      </c>
      <c r="E176" s="191" t="s">
        <v>904</v>
      </c>
      <c r="F176" s="191" t="s">
        <v>904</v>
      </c>
      <c r="G176" s="191" t="s">
        <v>1670</v>
      </c>
    </row>
    <row r="177" spans="1:7" ht="363.75" thickBot="1">
      <c r="A177" s="191" t="s">
        <v>358</v>
      </c>
      <c r="B177" s="191" t="s">
        <v>1253</v>
      </c>
      <c r="C177" s="191" t="s">
        <v>1671</v>
      </c>
      <c r="D177" s="191" t="s">
        <v>1672</v>
      </c>
      <c r="E177" s="191" t="s">
        <v>1673</v>
      </c>
      <c r="F177" s="191" t="s">
        <v>1001</v>
      </c>
      <c r="G177" s="191" t="s">
        <v>1674</v>
      </c>
    </row>
    <row r="178" spans="1:7" ht="409.6" thickBot="1">
      <c r="A178" s="191" t="s">
        <v>358</v>
      </c>
      <c r="B178" s="191" t="s">
        <v>1253</v>
      </c>
      <c r="C178" s="191" t="s">
        <v>1675</v>
      </c>
      <c r="D178" s="191" t="s">
        <v>1676</v>
      </c>
      <c r="E178" s="191" t="s">
        <v>1677</v>
      </c>
      <c r="F178" s="191" t="s">
        <v>622</v>
      </c>
      <c r="G178" s="191" t="s">
        <v>1678</v>
      </c>
    </row>
    <row r="179" spans="1:7" ht="409.6" thickBot="1">
      <c r="A179" s="191" t="s">
        <v>358</v>
      </c>
      <c r="B179" s="191" t="s">
        <v>1253</v>
      </c>
      <c r="C179" s="191" t="s">
        <v>1679</v>
      </c>
      <c r="D179" s="191" t="s">
        <v>1680</v>
      </c>
      <c r="E179" s="191" t="s">
        <v>1681</v>
      </c>
      <c r="F179" s="191" t="s">
        <v>1001</v>
      </c>
      <c r="G179" s="191" t="s">
        <v>1682</v>
      </c>
    </row>
    <row r="180" spans="1:7" ht="264.75" thickBot="1">
      <c r="A180" s="191" t="s">
        <v>358</v>
      </c>
      <c r="B180" s="191" t="s">
        <v>359</v>
      </c>
      <c r="C180" s="191" t="s">
        <v>914</v>
      </c>
      <c r="D180" s="191" t="s">
        <v>904</v>
      </c>
      <c r="E180" s="191" t="s">
        <v>904</v>
      </c>
      <c r="F180" s="191" t="s">
        <v>904</v>
      </c>
      <c r="G180" s="191" t="s">
        <v>1683</v>
      </c>
    </row>
    <row r="181" spans="1:7" ht="99.75" thickBot="1">
      <c r="A181" s="191" t="s">
        <v>358</v>
      </c>
      <c r="B181" s="191" t="s">
        <v>1684</v>
      </c>
      <c r="C181" s="191" t="s">
        <v>914</v>
      </c>
      <c r="D181" s="191" t="s">
        <v>904</v>
      </c>
      <c r="E181" s="191" t="s">
        <v>904</v>
      </c>
      <c r="F181" s="191" t="s">
        <v>904</v>
      </c>
      <c r="G181" s="191" t="s">
        <v>1685</v>
      </c>
    </row>
    <row r="182" spans="1:7" ht="409.6" thickBot="1">
      <c r="A182" s="191" t="s">
        <v>358</v>
      </c>
      <c r="B182" s="191" t="s">
        <v>1313</v>
      </c>
      <c r="C182" s="191" t="s">
        <v>1686</v>
      </c>
      <c r="D182" s="191" t="s">
        <v>1687</v>
      </c>
      <c r="E182" s="191" t="s">
        <v>1688</v>
      </c>
      <c r="F182" s="191" t="s">
        <v>668</v>
      </c>
      <c r="G182" s="191" t="s">
        <v>1689</v>
      </c>
    </row>
    <row r="183" spans="1:7" ht="409.6" thickBot="1">
      <c r="A183" s="191" t="s">
        <v>85</v>
      </c>
      <c r="B183" s="191" t="s">
        <v>85</v>
      </c>
      <c r="C183" s="191" t="s">
        <v>1690</v>
      </c>
      <c r="D183" s="191" t="s">
        <v>1691</v>
      </c>
      <c r="E183" s="191" t="s">
        <v>1692</v>
      </c>
      <c r="F183" s="191" t="s">
        <v>668</v>
      </c>
      <c r="G183" s="191" t="s">
        <v>1693</v>
      </c>
    </row>
    <row r="184" spans="1:7" ht="99.75" thickBot="1">
      <c r="A184" s="191" t="s">
        <v>1272</v>
      </c>
      <c r="B184" s="191" t="s">
        <v>323</v>
      </c>
      <c r="C184" s="191" t="s">
        <v>914</v>
      </c>
      <c r="D184" s="191" t="s">
        <v>904</v>
      </c>
      <c r="E184" s="191" t="s">
        <v>904</v>
      </c>
      <c r="F184" s="191" t="s">
        <v>904</v>
      </c>
      <c r="G184" s="191" t="s">
        <v>1694</v>
      </c>
    </row>
    <row r="185" spans="1:7" ht="409.6" thickBot="1">
      <c r="A185" s="191" t="s">
        <v>98</v>
      </c>
      <c r="B185" s="191" t="s">
        <v>106</v>
      </c>
      <c r="C185" s="191" t="s">
        <v>1695</v>
      </c>
      <c r="D185" s="191" t="s">
        <v>1696</v>
      </c>
      <c r="E185" s="191" t="s">
        <v>1697</v>
      </c>
      <c r="F185" s="191" t="s">
        <v>668</v>
      </c>
      <c r="G185" s="191" t="s">
        <v>1698</v>
      </c>
    </row>
    <row r="186" spans="1:7" ht="198.75" thickBot="1">
      <c r="A186" s="191" t="s">
        <v>98</v>
      </c>
      <c r="B186" s="191" t="s">
        <v>106</v>
      </c>
      <c r="C186" s="191" t="s">
        <v>1699</v>
      </c>
      <c r="D186" s="191" t="s">
        <v>1700</v>
      </c>
      <c r="E186" s="191" t="s">
        <v>904</v>
      </c>
      <c r="F186" s="191" t="s">
        <v>904</v>
      </c>
      <c r="G186" s="191" t="s">
        <v>1701</v>
      </c>
    </row>
    <row r="187" spans="1:7" ht="116.25" thickBot="1">
      <c r="A187" s="191" t="s">
        <v>260</v>
      </c>
      <c r="B187" s="191" t="s">
        <v>1283</v>
      </c>
      <c r="C187" s="191" t="s">
        <v>914</v>
      </c>
      <c r="D187" s="191" t="s">
        <v>904</v>
      </c>
      <c r="E187" s="191" t="s">
        <v>904</v>
      </c>
      <c r="F187" s="191" t="s">
        <v>904</v>
      </c>
      <c r="G187" s="191" t="s">
        <v>1702</v>
      </c>
    </row>
    <row r="188" spans="1:7" ht="409.6" thickBot="1">
      <c r="A188" s="191" t="s">
        <v>479</v>
      </c>
      <c r="B188" s="191" t="s">
        <v>794</v>
      </c>
      <c r="C188" s="191" t="s">
        <v>1703</v>
      </c>
      <c r="D188" s="191" t="s">
        <v>1704</v>
      </c>
      <c r="E188" s="191" t="s">
        <v>1705</v>
      </c>
      <c r="F188" s="191" t="s">
        <v>668</v>
      </c>
      <c r="G188" s="191" t="s">
        <v>1706</v>
      </c>
    </row>
    <row r="189" spans="1:7" ht="409.6" thickBot="1">
      <c r="A189" s="191" t="s">
        <v>479</v>
      </c>
      <c r="B189" s="191" t="s">
        <v>794</v>
      </c>
      <c r="C189" s="191" t="s">
        <v>1707</v>
      </c>
      <c r="D189" s="191" t="s">
        <v>1708</v>
      </c>
      <c r="E189" s="191" t="s">
        <v>1705</v>
      </c>
      <c r="F189" s="191" t="s">
        <v>668</v>
      </c>
      <c r="G189" s="191" t="s">
        <v>1709</v>
      </c>
    </row>
    <row r="190" spans="1:7" ht="132.75" thickBot="1">
      <c r="A190" s="191" t="s">
        <v>482</v>
      </c>
      <c r="B190" s="191" t="s">
        <v>483</v>
      </c>
      <c r="C190" s="191" t="s">
        <v>914</v>
      </c>
      <c r="D190" s="191" t="s">
        <v>904</v>
      </c>
      <c r="E190" s="191" t="s">
        <v>904</v>
      </c>
      <c r="F190" s="191" t="s">
        <v>904</v>
      </c>
      <c r="G190" s="191" t="s">
        <v>1710</v>
      </c>
    </row>
    <row r="191" spans="1:7" ht="149.25" thickBot="1">
      <c r="A191" s="191" t="s">
        <v>171</v>
      </c>
      <c r="B191" s="191" t="s">
        <v>171</v>
      </c>
      <c r="C191" s="191" t="s">
        <v>914</v>
      </c>
      <c r="D191" s="191" t="s">
        <v>904</v>
      </c>
      <c r="E191" s="191" t="s">
        <v>904</v>
      </c>
      <c r="F191" s="191" t="s">
        <v>904</v>
      </c>
      <c r="G191" s="191" t="s">
        <v>1711</v>
      </c>
    </row>
    <row r="192" spans="1:7" ht="409.6" thickBot="1">
      <c r="A192" s="191" t="s">
        <v>273</v>
      </c>
      <c r="B192" s="191" t="s">
        <v>274</v>
      </c>
      <c r="C192" s="191" t="s">
        <v>1712</v>
      </c>
      <c r="D192" s="191" t="s">
        <v>1713</v>
      </c>
      <c r="E192" s="191" t="s">
        <v>1714</v>
      </c>
      <c r="F192" s="191" t="s">
        <v>668</v>
      </c>
      <c r="G192" s="191" t="s">
        <v>1715</v>
      </c>
    </row>
    <row r="193" spans="1:7" ht="149.25" thickBot="1">
      <c r="A193" s="191" t="s">
        <v>68</v>
      </c>
      <c r="B193" s="191" t="s">
        <v>418</v>
      </c>
      <c r="C193" s="191" t="s">
        <v>914</v>
      </c>
      <c r="D193" s="191" t="s">
        <v>904</v>
      </c>
      <c r="E193" s="191" t="s">
        <v>904</v>
      </c>
      <c r="F193" s="191" t="s">
        <v>904</v>
      </c>
      <c r="G193" s="191" t="s">
        <v>1716</v>
      </c>
    </row>
    <row r="194" spans="1:7" ht="409.6" thickBot="1">
      <c r="A194" s="191" t="s">
        <v>257</v>
      </c>
      <c r="B194" s="191" t="s">
        <v>258</v>
      </c>
      <c r="C194" s="191" t="s">
        <v>1717</v>
      </c>
      <c r="D194" s="191" t="s">
        <v>1718</v>
      </c>
      <c r="E194" s="191" t="s">
        <v>1719</v>
      </c>
      <c r="F194" s="191" t="s">
        <v>668</v>
      </c>
      <c r="G194" s="191" t="s">
        <v>1720</v>
      </c>
    </row>
    <row r="195" spans="1:7" ht="380.25" thickBot="1">
      <c r="A195" s="191" t="s">
        <v>257</v>
      </c>
      <c r="B195" s="191" t="s">
        <v>464</v>
      </c>
      <c r="C195" s="191" t="s">
        <v>1721</v>
      </c>
      <c r="D195" s="191" t="s">
        <v>1722</v>
      </c>
      <c r="E195" s="191" t="s">
        <v>1719</v>
      </c>
      <c r="F195" s="191" t="s">
        <v>668</v>
      </c>
      <c r="G195" s="191" t="s">
        <v>1723</v>
      </c>
    </row>
    <row r="196" spans="1:7" ht="149.25" thickBot="1">
      <c r="A196" s="191" t="s">
        <v>358</v>
      </c>
      <c r="B196" s="191" t="s">
        <v>386</v>
      </c>
      <c r="C196" s="195" t="s">
        <v>1724</v>
      </c>
      <c r="D196" s="195" t="s">
        <v>1725</v>
      </c>
      <c r="E196" s="191" t="s">
        <v>904</v>
      </c>
      <c r="F196" s="191" t="s">
        <v>904</v>
      </c>
      <c r="G196" s="191" t="s">
        <v>1726</v>
      </c>
    </row>
    <row r="197" spans="1:7" ht="116.25" thickBot="1">
      <c r="A197" s="191" t="s">
        <v>358</v>
      </c>
      <c r="B197" s="191" t="s">
        <v>388</v>
      </c>
      <c r="C197" s="191" t="s">
        <v>914</v>
      </c>
      <c r="D197" s="191" t="s">
        <v>904</v>
      </c>
      <c r="E197" s="191" t="s">
        <v>904</v>
      </c>
      <c r="F197" s="191" t="s">
        <v>904</v>
      </c>
      <c r="G197" s="191" t="s">
        <v>1727</v>
      </c>
    </row>
    <row r="198" spans="1:7" ht="149.25" thickBot="1">
      <c r="A198" s="191" t="s">
        <v>412</v>
      </c>
      <c r="B198" s="191" t="s">
        <v>413</v>
      </c>
      <c r="C198" s="191" t="s">
        <v>914</v>
      </c>
      <c r="D198" s="191" t="s">
        <v>904</v>
      </c>
      <c r="E198" s="191" t="s">
        <v>904</v>
      </c>
      <c r="F198" s="191" t="s">
        <v>904</v>
      </c>
      <c r="G198" s="191" t="s">
        <v>1728</v>
      </c>
    </row>
    <row r="199" spans="1:7" ht="132.75" thickBot="1">
      <c r="A199" s="191" t="s">
        <v>412</v>
      </c>
      <c r="B199" s="191" t="s">
        <v>414</v>
      </c>
      <c r="C199" s="191" t="s">
        <v>914</v>
      </c>
      <c r="D199" s="191" t="s">
        <v>904</v>
      </c>
      <c r="E199" s="191" t="s">
        <v>904</v>
      </c>
      <c r="F199" s="191" t="s">
        <v>904</v>
      </c>
      <c r="G199" s="191" t="s">
        <v>1729</v>
      </c>
    </row>
    <row r="200" spans="1:7" ht="132.75" thickBot="1">
      <c r="A200" s="191" t="s">
        <v>412</v>
      </c>
      <c r="B200" s="191" t="s">
        <v>511</v>
      </c>
      <c r="C200" s="191" t="s">
        <v>914</v>
      </c>
      <c r="D200" s="191" t="s">
        <v>904</v>
      </c>
      <c r="E200" s="191" t="s">
        <v>904</v>
      </c>
      <c r="F200" s="191" t="s">
        <v>904</v>
      </c>
      <c r="G200" s="191" t="s">
        <v>1730</v>
      </c>
    </row>
    <row r="201" spans="1:7" ht="409.6" thickBot="1">
      <c r="A201" s="191" t="s">
        <v>348</v>
      </c>
      <c r="B201" s="191" t="s">
        <v>349</v>
      </c>
      <c r="C201" s="191" t="s">
        <v>1731</v>
      </c>
      <c r="D201" s="191" t="s">
        <v>1732</v>
      </c>
      <c r="E201" s="191" t="s">
        <v>1733</v>
      </c>
      <c r="F201" s="191" t="s">
        <v>622</v>
      </c>
      <c r="G201" s="191" t="s">
        <v>1734</v>
      </c>
    </row>
    <row r="202" spans="1:7" ht="116.25" thickBot="1">
      <c r="A202" s="191" t="s">
        <v>286</v>
      </c>
      <c r="B202" s="191" t="s">
        <v>287</v>
      </c>
      <c r="C202" s="195" t="s">
        <v>1735</v>
      </c>
      <c r="D202" s="195" t="s">
        <v>1736</v>
      </c>
      <c r="E202" s="191" t="s">
        <v>904</v>
      </c>
      <c r="F202" s="191" t="s">
        <v>904</v>
      </c>
      <c r="G202" s="191" t="s">
        <v>1737</v>
      </c>
    </row>
    <row r="203" spans="1:7" ht="409.6" thickBot="1">
      <c r="A203" s="191" t="s">
        <v>68</v>
      </c>
      <c r="B203" s="191" t="s">
        <v>69</v>
      </c>
      <c r="C203" s="191" t="s">
        <v>1738</v>
      </c>
      <c r="D203" s="191" t="s">
        <v>1739</v>
      </c>
      <c r="E203" s="191" t="s">
        <v>1740</v>
      </c>
      <c r="F203" s="191" t="s">
        <v>622</v>
      </c>
      <c r="G203" s="191" t="s">
        <v>1741</v>
      </c>
    </row>
    <row r="204" spans="1:7" ht="132.75" thickBot="1">
      <c r="A204" s="191" t="s">
        <v>68</v>
      </c>
      <c r="B204" s="191" t="s">
        <v>73</v>
      </c>
      <c r="C204" s="195" t="s">
        <v>1742</v>
      </c>
      <c r="D204" s="195" t="s">
        <v>1743</v>
      </c>
      <c r="E204" s="191" t="s">
        <v>904</v>
      </c>
      <c r="F204" s="191" t="s">
        <v>904</v>
      </c>
      <c r="G204" s="191" t="s">
        <v>1744</v>
      </c>
    </row>
    <row r="205" spans="1:7" ht="83.25" thickBot="1">
      <c r="A205" s="191" t="s">
        <v>68</v>
      </c>
      <c r="B205" s="191" t="s">
        <v>74</v>
      </c>
      <c r="C205" s="195" t="s">
        <v>1742</v>
      </c>
      <c r="D205" s="195" t="s">
        <v>1745</v>
      </c>
      <c r="E205" s="191" t="s">
        <v>904</v>
      </c>
      <c r="F205" s="191" t="s">
        <v>904</v>
      </c>
      <c r="G205" s="191" t="s">
        <v>1746</v>
      </c>
    </row>
    <row r="206" spans="1:7" ht="409.6" thickBot="1">
      <c r="A206" s="191" t="s">
        <v>80</v>
      </c>
      <c r="B206" s="191" t="s">
        <v>291</v>
      </c>
      <c r="C206" s="191" t="s">
        <v>1747</v>
      </c>
      <c r="D206" s="191" t="s">
        <v>1748</v>
      </c>
      <c r="E206" s="191" t="s">
        <v>1749</v>
      </c>
      <c r="F206" s="191" t="s">
        <v>622</v>
      </c>
      <c r="G206" s="191" t="s">
        <v>1750</v>
      </c>
    </row>
    <row r="207" spans="1:7" ht="116.25" thickBot="1">
      <c r="A207" s="191" t="s">
        <v>80</v>
      </c>
      <c r="B207" s="191" t="s">
        <v>368</v>
      </c>
      <c r="C207" s="191" t="s">
        <v>914</v>
      </c>
      <c r="D207" s="191" t="s">
        <v>904</v>
      </c>
      <c r="E207" s="191" t="s">
        <v>904</v>
      </c>
      <c r="F207" s="191" t="s">
        <v>904</v>
      </c>
      <c r="G207" s="191" t="s">
        <v>1751</v>
      </c>
    </row>
    <row r="208" spans="1:7" ht="409.6" thickBot="1">
      <c r="A208" s="191" t="s">
        <v>80</v>
      </c>
      <c r="B208" s="191" t="s">
        <v>81</v>
      </c>
      <c r="C208" s="191" t="s">
        <v>1752</v>
      </c>
      <c r="D208" s="191" t="s">
        <v>1753</v>
      </c>
      <c r="E208" s="191" t="s">
        <v>1754</v>
      </c>
      <c r="F208" s="191" t="s">
        <v>622</v>
      </c>
      <c r="G208" s="191" t="s">
        <v>1755</v>
      </c>
    </row>
    <row r="209" spans="1:7" ht="149.25" thickBot="1">
      <c r="A209" s="191" t="s">
        <v>80</v>
      </c>
      <c r="B209" s="191" t="s">
        <v>83</v>
      </c>
      <c r="C209" s="191" t="s">
        <v>914</v>
      </c>
      <c r="D209" s="191" t="s">
        <v>904</v>
      </c>
      <c r="E209" s="191" t="s">
        <v>904</v>
      </c>
      <c r="F209" s="191" t="s">
        <v>904</v>
      </c>
      <c r="G209" s="191" t="s">
        <v>1756</v>
      </c>
    </row>
    <row r="210" spans="1:7" ht="149.25" thickBot="1">
      <c r="A210" s="191" t="s">
        <v>80</v>
      </c>
      <c r="B210" s="191" t="s">
        <v>84</v>
      </c>
      <c r="C210" s="191" t="s">
        <v>914</v>
      </c>
      <c r="D210" s="191" t="s">
        <v>904</v>
      </c>
      <c r="E210" s="191" t="s">
        <v>904</v>
      </c>
      <c r="F210" s="191" t="s">
        <v>904</v>
      </c>
      <c r="G210" s="191" t="s">
        <v>1757</v>
      </c>
    </row>
    <row r="211" spans="1:7" ht="132.75" thickBot="1">
      <c r="A211" s="191" t="s">
        <v>127</v>
      </c>
      <c r="B211" s="191" t="s">
        <v>128</v>
      </c>
      <c r="C211" s="191" t="s">
        <v>914</v>
      </c>
      <c r="D211" s="191" t="s">
        <v>904</v>
      </c>
      <c r="E211" s="191" t="s">
        <v>904</v>
      </c>
      <c r="F211" s="191" t="s">
        <v>904</v>
      </c>
      <c r="G211" s="191" t="s">
        <v>1758</v>
      </c>
    </row>
    <row r="212" spans="1:7" ht="409.6" thickBot="1">
      <c r="A212" s="191" t="s">
        <v>80</v>
      </c>
      <c r="B212" s="191" t="s">
        <v>243</v>
      </c>
      <c r="C212" s="191" t="s">
        <v>1759</v>
      </c>
      <c r="D212" s="191" t="s">
        <v>1760</v>
      </c>
      <c r="E212" s="191" t="s">
        <v>1761</v>
      </c>
      <c r="F212" s="191" t="s">
        <v>622</v>
      </c>
      <c r="G212" s="191" t="s">
        <v>1762</v>
      </c>
    </row>
    <row r="213" spans="1:7" ht="165.75" thickBot="1">
      <c r="A213" s="191" t="s">
        <v>329</v>
      </c>
      <c r="B213" s="191" t="s">
        <v>330</v>
      </c>
      <c r="C213" s="191" t="s">
        <v>914</v>
      </c>
      <c r="D213" s="191" t="s">
        <v>904</v>
      </c>
      <c r="E213" s="191" t="s">
        <v>904</v>
      </c>
      <c r="F213" s="191" t="s">
        <v>904</v>
      </c>
      <c r="G213" s="191" t="s">
        <v>1763</v>
      </c>
    </row>
    <row r="214" spans="1:7" ht="231.75" thickBot="1">
      <c r="A214" s="191" t="s">
        <v>257</v>
      </c>
      <c r="B214" s="191" t="s">
        <v>470</v>
      </c>
      <c r="C214" s="191" t="s">
        <v>1764</v>
      </c>
      <c r="D214" s="191" t="s">
        <v>1765</v>
      </c>
      <c r="E214" s="191" t="s">
        <v>904</v>
      </c>
      <c r="F214" s="191" t="s">
        <v>622</v>
      </c>
      <c r="G214" s="191" t="s">
        <v>1766</v>
      </c>
    </row>
    <row r="215" spans="1:7" ht="132.75" thickBot="1">
      <c r="A215" s="191" t="s">
        <v>512</v>
      </c>
      <c r="B215" s="191" t="s">
        <v>513</v>
      </c>
      <c r="C215" s="191" t="s">
        <v>914</v>
      </c>
      <c r="D215" s="191" t="s">
        <v>904</v>
      </c>
      <c r="E215" s="191" t="s">
        <v>904</v>
      </c>
      <c r="F215" s="191" t="s">
        <v>904</v>
      </c>
      <c r="G215" s="191" t="s">
        <v>1767</v>
      </c>
    </row>
    <row r="216" spans="1:7" ht="116.25" thickBot="1">
      <c r="A216" s="191" t="s">
        <v>440</v>
      </c>
      <c r="B216" s="191" t="s">
        <v>441</v>
      </c>
      <c r="C216" s="191" t="s">
        <v>914</v>
      </c>
      <c r="D216" s="191" t="s">
        <v>904</v>
      </c>
      <c r="E216" s="191" t="s">
        <v>904</v>
      </c>
      <c r="F216" s="191" t="s">
        <v>904</v>
      </c>
      <c r="G216" s="191" t="s">
        <v>1768</v>
      </c>
    </row>
    <row r="217" spans="1:7" ht="116.25" thickBot="1">
      <c r="A217" s="191" t="s">
        <v>289</v>
      </c>
      <c r="B217" s="191" t="s">
        <v>289</v>
      </c>
      <c r="C217" s="191" t="s">
        <v>914</v>
      </c>
      <c r="D217" s="191" t="s">
        <v>904</v>
      </c>
      <c r="E217" s="191" t="s">
        <v>904</v>
      </c>
      <c r="F217" s="191" t="s">
        <v>904</v>
      </c>
      <c r="G217" s="191" t="s">
        <v>1769</v>
      </c>
    </row>
    <row r="218" spans="1:7" ht="116.25" thickBot="1">
      <c r="A218" s="191" t="s">
        <v>136</v>
      </c>
      <c r="B218" s="191" t="s">
        <v>462</v>
      </c>
      <c r="C218" s="191" t="s">
        <v>1770</v>
      </c>
      <c r="D218" s="191" t="s">
        <v>1771</v>
      </c>
      <c r="E218" s="191" t="s">
        <v>904</v>
      </c>
      <c r="F218" s="191" t="s">
        <v>904</v>
      </c>
      <c r="G218" s="191" t="s">
        <v>1772</v>
      </c>
    </row>
    <row r="219" spans="1:7" ht="83.25" thickBot="1">
      <c r="A219" s="191" t="s">
        <v>800</v>
      </c>
      <c r="B219" s="191" t="s">
        <v>801</v>
      </c>
      <c r="C219" s="191" t="s">
        <v>914</v>
      </c>
      <c r="D219" s="191" t="s">
        <v>904</v>
      </c>
      <c r="E219" s="191" t="s">
        <v>904</v>
      </c>
      <c r="F219" s="191" t="s">
        <v>904</v>
      </c>
      <c r="G219" s="191" t="s">
        <v>1773</v>
      </c>
    </row>
    <row r="220" spans="1:7" ht="116.25" thickBot="1">
      <c r="A220" s="191" t="s">
        <v>800</v>
      </c>
      <c r="B220" s="191" t="s">
        <v>804</v>
      </c>
      <c r="C220" s="191" t="s">
        <v>914</v>
      </c>
      <c r="D220" s="191" t="s">
        <v>904</v>
      </c>
      <c r="E220" s="191" t="s">
        <v>904</v>
      </c>
      <c r="F220" s="191" t="s">
        <v>904</v>
      </c>
      <c r="G220" s="191" t="s">
        <v>1774</v>
      </c>
    </row>
    <row r="221" spans="1:7" ht="297.75" thickBot="1">
      <c r="A221" s="191" t="s">
        <v>800</v>
      </c>
      <c r="B221" s="191" t="s">
        <v>806</v>
      </c>
      <c r="C221" s="191" t="s">
        <v>914</v>
      </c>
      <c r="D221" s="191" t="s">
        <v>904</v>
      </c>
      <c r="E221" s="191" t="s">
        <v>904</v>
      </c>
      <c r="F221" s="191" t="s">
        <v>904</v>
      </c>
      <c r="G221" s="191" t="s">
        <v>1775</v>
      </c>
    </row>
    <row r="222" spans="1:7" ht="132.75" thickBot="1">
      <c r="A222" s="191" t="s">
        <v>800</v>
      </c>
      <c r="B222" s="191" t="s">
        <v>807</v>
      </c>
      <c r="C222" s="191" t="s">
        <v>914</v>
      </c>
      <c r="D222" s="191" t="s">
        <v>904</v>
      </c>
      <c r="E222" s="191" t="s">
        <v>904</v>
      </c>
      <c r="F222" s="191" t="s">
        <v>904</v>
      </c>
      <c r="G222" s="191" t="s">
        <v>1776</v>
      </c>
    </row>
    <row r="223" spans="1:7" ht="116.25" thickBot="1">
      <c r="A223" s="191" t="s">
        <v>800</v>
      </c>
      <c r="B223" s="191" t="s">
        <v>846</v>
      </c>
      <c r="C223" s="191" t="s">
        <v>914</v>
      </c>
      <c r="D223" s="191" t="s">
        <v>904</v>
      </c>
      <c r="E223" s="191" t="s">
        <v>904</v>
      </c>
      <c r="F223" s="191" t="s">
        <v>904</v>
      </c>
      <c r="G223" s="191" t="s">
        <v>1777</v>
      </c>
    </row>
    <row r="224" spans="1:7" ht="116.25" thickBot="1">
      <c r="A224" s="191" t="s">
        <v>440</v>
      </c>
      <c r="B224" s="191" t="s">
        <v>441</v>
      </c>
      <c r="C224" s="191" t="s">
        <v>914</v>
      </c>
      <c r="D224" s="191" t="s">
        <v>904</v>
      </c>
      <c r="E224" s="191" t="s">
        <v>904</v>
      </c>
      <c r="F224" s="191" t="s">
        <v>904</v>
      </c>
      <c r="G224" s="191" t="s">
        <v>1778</v>
      </c>
    </row>
    <row r="225" spans="1:7" ht="409.6" thickBot="1">
      <c r="A225" s="191" t="s">
        <v>289</v>
      </c>
      <c r="B225" s="191" t="s">
        <v>289</v>
      </c>
      <c r="C225" s="191" t="s">
        <v>1779</v>
      </c>
      <c r="D225" s="191" t="s">
        <v>1780</v>
      </c>
      <c r="E225" s="191" t="s">
        <v>1781</v>
      </c>
      <c r="F225" s="191" t="s">
        <v>668</v>
      </c>
      <c r="G225" s="191" t="s">
        <v>1782</v>
      </c>
    </row>
    <row r="226" spans="1:7" ht="132.75" thickBot="1">
      <c r="A226" s="191" t="s">
        <v>136</v>
      </c>
      <c r="B226" s="191" t="s">
        <v>462</v>
      </c>
      <c r="C226" s="191" t="s">
        <v>914</v>
      </c>
      <c r="D226" s="191" t="s">
        <v>904</v>
      </c>
      <c r="E226" s="191" t="s">
        <v>904</v>
      </c>
      <c r="F226" s="191" t="s">
        <v>904</v>
      </c>
      <c r="G226" s="191" t="s">
        <v>1783</v>
      </c>
    </row>
    <row r="227" spans="1:7" ht="83.25" thickBot="1">
      <c r="A227" s="191" t="s">
        <v>800</v>
      </c>
      <c r="B227" s="191" t="s">
        <v>801</v>
      </c>
      <c r="C227" s="191" t="s">
        <v>914</v>
      </c>
      <c r="D227" s="191" t="s">
        <v>904</v>
      </c>
      <c r="E227" s="191" t="s">
        <v>904</v>
      </c>
      <c r="F227" s="191" t="s">
        <v>904</v>
      </c>
      <c r="G227" s="191" t="s">
        <v>1784</v>
      </c>
    </row>
    <row r="228" spans="1:7" ht="165.75" thickBot="1">
      <c r="A228" s="191" t="s">
        <v>800</v>
      </c>
      <c r="B228" s="191" t="s">
        <v>804</v>
      </c>
      <c r="C228" s="191" t="s">
        <v>914</v>
      </c>
      <c r="D228" s="191" t="s">
        <v>904</v>
      </c>
      <c r="E228" s="191" t="s">
        <v>904</v>
      </c>
      <c r="F228" s="191" t="s">
        <v>904</v>
      </c>
      <c r="G228" s="191" t="s">
        <v>1785</v>
      </c>
    </row>
    <row r="229" spans="1:7" ht="149.25" thickBot="1">
      <c r="A229" s="191" t="s">
        <v>800</v>
      </c>
      <c r="B229" s="191" t="s">
        <v>806</v>
      </c>
      <c r="C229" s="191" t="s">
        <v>1786</v>
      </c>
      <c r="D229" s="191" t="s">
        <v>1787</v>
      </c>
      <c r="E229" s="191" t="s">
        <v>1788</v>
      </c>
      <c r="F229" s="191" t="s">
        <v>622</v>
      </c>
      <c r="G229" s="191" t="s">
        <v>1789</v>
      </c>
    </row>
    <row r="230" spans="1:7" ht="149.25" thickBot="1">
      <c r="A230" s="191" t="s">
        <v>800</v>
      </c>
      <c r="B230" s="191" t="s">
        <v>807</v>
      </c>
      <c r="C230" s="191" t="s">
        <v>914</v>
      </c>
      <c r="D230" s="191" t="s">
        <v>904</v>
      </c>
      <c r="E230" s="191" t="s">
        <v>904</v>
      </c>
      <c r="F230" s="191" t="s">
        <v>904</v>
      </c>
      <c r="G230" s="191" t="s">
        <v>1790</v>
      </c>
    </row>
    <row r="231" spans="1:7" ht="409.6" thickBot="1">
      <c r="A231" s="191" t="s">
        <v>800</v>
      </c>
      <c r="B231" s="191" t="s">
        <v>846</v>
      </c>
      <c r="C231" s="191" t="s">
        <v>914</v>
      </c>
      <c r="D231" s="191" t="s">
        <v>904</v>
      </c>
      <c r="E231" s="191" t="s">
        <v>904</v>
      </c>
      <c r="F231" s="191" t="s">
        <v>904</v>
      </c>
      <c r="G231" s="191" t="s">
        <v>1791</v>
      </c>
    </row>
  </sheetData>
  <autoFilter ref="A1:G165" xr:uid="{1C4149A0-BA1F-4D28-885D-B3F5C7326692}"/>
  <hyperlinks>
    <hyperlink ref="E84" r:id="rId1" xr:uid="{41D65993-1327-43AD-8912-6D13F0745CC5}"/>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997B-643E-4472-B2F4-1172B6B1060C}">
  <dimension ref="A1:B15"/>
  <sheetViews>
    <sheetView workbookViewId="0"/>
  </sheetViews>
  <sheetFormatPr defaultRowHeight="15"/>
  <cols>
    <col min="1" max="1" width="20" bestFit="1" customWidth="1"/>
    <col min="2" max="2" width="20.5703125" bestFit="1" customWidth="1"/>
  </cols>
  <sheetData>
    <row r="1" spans="1:2">
      <c r="A1" s="18" t="s">
        <v>0</v>
      </c>
      <c r="B1" t="s">
        <v>1792</v>
      </c>
    </row>
    <row r="3" spans="1:2">
      <c r="A3" s="18" t="s">
        <v>23</v>
      </c>
      <c r="B3" t="s">
        <v>1793</v>
      </c>
    </row>
    <row r="4" spans="1:2">
      <c r="A4" t="s">
        <v>120</v>
      </c>
      <c r="B4">
        <v>13</v>
      </c>
    </row>
    <row r="5" spans="1:2">
      <c r="A5" t="s">
        <v>36</v>
      </c>
      <c r="B5">
        <v>7</v>
      </c>
    </row>
    <row r="6" spans="1:2">
      <c r="A6" t="s">
        <v>161</v>
      </c>
      <c r="B6">
        <v>10</v>
      </c>
    </row>
    <row r="7" spans="1:2">
      <c r="A7" t="s">
        <v>326</v>
      </c>
      <c r="B7">
        <v>2</v>
      </c>
    </row>
    <row r="8" spans="1:2">
      <c r="A8" t="s">
        <v>295</v>
      </c>
      <c r="B8">
        <v>25</v>
      </c>
    </row>
    <row r="9" spans="1:2">
      <c r="A9" t="s">
        <v>152</v>
      </c>
      <c r="B9">
        <v>8</v>
      </c>
    </row>
    <row r="10" spans="1:2">
      <c r="A10" t="s">
        <v>55</v>
      </c>
      <c r="B10">
        <v>22</v>
      </c>
    </row>
    <row r="11" spans="1:2">
      <c r="A11" t="s">
        <v>111</v>
      </c>
      <c r="B11">
        <v>8</v>
      </c>
    </row>
    <row r="12" spans="1:2">
      <c r="A12" t="s">
        <v>50</v>
      </c>
      <c r="B12">
        <v>31</v>
      </c>
    </row>
    <row r="13" spans="1:2">
      <c r="A13" t="s">
        <v>60</v>
      </c>
      <c r="B13">
        <v>19</v>
      </c>
    </row>
    <row r="14" spans="1:2">
      <c r="A14" t="s">
        <v>71</v>
      </c>
      <c r="B14">
        <v>45</v>
      </c>
    </row>
    <row r="15" spans="1:2">
      <c r="A15" t="s">
        <v>535</v>
      </c>
      <c r="B15">
        <v>190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273B-D6A2-4DB4-9C53-183B4DE3F669}">
  <dimension ref="A1"/>
  <sheetViews>
    <sheetView workbookViewId="0"/>
  </sheetViews>
  <sheetFormatPr defaultRowHeight="15"/>
  <cols>
    <col min="1" max="1" width="232.5703125" customWidth="1"/>
  </cols>
  <sheetData>
    <row r="1" spans="1:1" ht="409.5">
      <c r="A1" s="1" t="s">
        <v>1794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BBE1-42ED-4125-90F2-B3D13D854A23}">
  <dimension ref="A1:C2"/>
  <sheetViews>
    <sheetView workbookViewId="0"/>
  </sheetViews>
  <sheetFormatPr defaultRowHeight="15"/>
  <cols>
    <col min="2" max="2" width="16.7109375" customWidth="1"/>
    <col min="3" max="3" width="100.28515625" customWidth="1"/>
  </cols>
  <sheetData>
    <row r="1" spans="1:3">
      <c r="A1" s="35" t="s">
        <v>0</v>
      </c>
      <c r="B1" s="35" t="s">
        <v>1795</v>
      </c>
      <c r="C1" s="35" t="s">
        <v>9</v>
      </c>
    </row>
    <row r="2" spans="1:3">
      <c r="A2" t="s">
        <v>1796</v>
      </c>
      <c r="B2" t="s">
        <v>1797</v>
      </c>
      <c r="C2" t="s">
        <v>1798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57A39-77B8-4236-870E-6FB69283F152}">
  <dimension ref="A1:Y198"/>
  <sheetViews>
    <sheetView zoomScale="89" zoomScaleNormal="82" workbookViewId="0">
      <pane xSplit="2" ySplit="1" topLeftCell="V2" activePane="bottomRight" state="frozen"/>
      <selection pane="bottomRight" activeCell="V2" sqref="V2"/>
      <selection pane="bottomLeft" activeCell="A2" sqref="A2"/>
      <selection pane="topRight" activeCell="C1" sqref="C1"/>
    </sheetView>
  </sheetViews>
  <sheetFormatPr defaultColWidth="8.85546875" defaultRowHeight="15"/>
  <cols>
    <col min="1" max="1" width="38.28515625" customWidth="1"/>
    <col min="2" max="2" width="29" customWidth="1"/>
    <col min="3" max="3" width="32.5703125" customWidth="1"/>
    <col min="4" max="4" width="13" customWidth="1"/>
    <col min="5" max="5" width="19.42578125" customWidth="1"/>
    <col min="6" max="6" width="29.140625" customWidth="1"/>
    <col min="7" max="7" width="73.140625" customWidth="1"/>
    <col min="8" max="8" width="19.28515625" style="3" customWidth="1"/>
    <col min="9" max="9" width="19.5703125" style="3" bestFit="1" customWidth="1"/>
    <col min="10" max="10" width="19.5703125" style="3" customWidth="1"/>
    <col min="11" max="12" width="15.5703125" style="3" customWidth="1"/>
    <col min="13" max="13" width="16.42578125" style="3" customWidth="1"/>
    <col min="14" max="14" width="11.5703125" style="3" customWidth="1"/>
    <col min="15" max="15" width="10.42578125" style="14" customWidth="1"/>
    <col min="16" max="16" width="15.42578125" customWidth="1"/>
    <col min="17" max="17" width="20.28515625" customWidth="1"/>
    <col min="18" max="18" width="26.28515625" bestFit="1" customWidth="1"/>
    <col min="19" max="19" width="7.5703125" customWidth="1"/>
    <col min="20" max="20" width="8.7109375"/>
    <col min="22" max="22" width="255.7109375" bestFit="1" customWidth="1"/>
  </cols>
  <sheetData>
    <row r="1" spans="1:23">
      <c r="A1" s="43" t="s">
        <v>0</v>
      </c>
      <c r="B1" s="43" t="s">
        <v>1</v>
      </c>
      <c r="C1" s="43" t="s">
        <v>21</v>
      </c>
      <c r="D1" s="43" t="s">
        <v>22</v>
      </c>
      <c r="E1" s="43" t="s">
        <v>23</v>
      </c>
      <c r="F1" s="43" t="s">
        <v>24</v>
      </c>
      <c r="G1" s="43" t="s">
        <v>25</v>
      </c>
      <c r="H1" s="43" t="s">
        <v>26</v>
      </c>
      <c r="I1" s="43" t="s">
        <v>27</v>
      </c>
      <c r="J1" s="43" t="s">
        <v>28</v>
      </c>
      <c r="K1" s="43" t="s">
        <v>29</v>
      </c>
      <c r="L1" s="43" t="s">
        <v>30</v>
      </c>
      <c r="M1" s="43" t="s">
        <v>31</v>
      </c>
      <c r="N1" s="43" t="s">
        <v>32</v>
      </c>
      <c r="O1" s="44" t="s">
        <v>33</v>
      </c>
      <c r="P1" s="43" t="s">
        <v>5</v>
      </c>
      <c r="Q1" s="43" t="s">
        <v>9</v>
      </c>
      <c r="R1" s="45" t="s">
        <v>537</v>
      </c>
      <c r="S1" s="45" t="s">
        <v>538</v>
      </c>
      <c r="T1" s="45" t="s">
        <v>539</v>
      </c>
      <c r="U1" s="45" t="s">
        <v>540</v>
      </c>
      <c r="V1" s="45" t="s">
        <v>9</v>
      </c>
      <c r="W1" s="48" t="s">
        <v>1799</v>
      </c>
    </row>
    <row r="2" spans="1:23">
      <c r="A2" s="21" t="s">
        <v>222</v>
      </c>
      <c r="B2" s="21" t="s">
        <v>223</v>
      </c>
      <c r="C2" s="21" t="s">
        <v>223</v>
      </c>
      <c r="D2" s="21" t="s">
        <v>224</v>
      </c>
      <c r="E2" s="21" t="s">
        <v>60</v>
      </c>
      <c r="F2" s="21" t="s">
        <v>225</v>
      </c>
      <c r="G2" s="21" t="s">
        <v>62</v>
      </c>
      <c r="H2" s="22" t="s">
        <v>78</v>
      </c>
      <c r="I2" s="22" t="s">
        <v>63</v>
      </c>
      <c r="J2" s="22" t="s">
        <v>226</v>
      </c>
      <c r="K2" s="22" t="s">
        <v>227</v>
      </c>
      <c r="L2" s="22" t="s">
        <v>227</v>
      </c>
      <c r="M2" s="22" t="s">
        <v>227</v>
      </c>
      <c r="N2" s="22" t="s">
        <v>227</v>
      </c>
      <c r="O2" s="23">
        <v>20000</v>
      </c>
      <c r="P2" s="24">
        <v>0.9</v>
      </c>
      <c r="Q2" s="21" t="s">
        <v>228</v>
      </c>
      <c r="R2" s="21" t="s">
        <v>788</v>
      </c>
      <c r="T2" t="s">
        <v>542</v>
      </c>
      <c r="U2" t="s">
        <v>1800</v>
      </c>
      <c r="V2" t="s">
        <v>1801</v>
      </c>
    </row>
    <row r="3" spans="1:23">
      <c r="A3" s="21" t="s">
        <v>283</v>
      </c>
      <c r="B3" s="21" t="s">
        <v>284</v>
      </c>
      <c r="C3" s="21" t="s">
        <v>284</v>
      </c>
      <c r="D3" s="21"/>
      <c r="E3" s="21" t="s">
        <v>55</v>
      </c>
      <c r="F3" s="21" t="s">
        <v>285</v>
      </c>
      <c r="G3" s="21"/>
      <c r="H3" s="22" t="s">
        <v>77</v>
      </c>
      <c r="I3" s="22" t="s">
        <v>77</v>
      </c>
      <c r="J3" s="22" t="s">
        <v>78</v>
      </c>
      <c r="K3" s="22" t="s">
        <v>78</v>
      </c>
      <c r="L3" s="22" t="s">
        <v>78</v>
      </c>
      <c r="M3" s="22" t="s">
        <v>77</v>
      </c>
      <c r="N3" s="22" t="s">
        <v>78</v>
      </c>
      <c r="O3" s="23">
        <v>0</v>
      </c>
      <c r="P3" s="21"/>
      <c r="Q3" s="21"/>
      <c r="R3" s="21" t="s">
        <v>726</v>
      </c>
      <c r="T3" t="s">
        <v>44</v>
      </c>
      <c r="U3" t="s">
        <v>44</v>
      </c>
      <c r="V3" t="s">
        <v>1802</v>
      </c>
    </row>
    <row r="4" spans="1:23">
      <c r="A4" s="21" t="s">
        <v>48</v>
      </c>
      <c r="B4" s="21" t="s">
        <v>49</v>
      </c>
      <c r="C4" s="21" t="s">
        <v>49</v>
      </c>
      <c r="D4" s="21"/>
      <c r="E4" s="21" t="s">
        <v>50</v>
      </c>
      <c r="F4" s="21" t="s">
        <v>51</v>
      </c>
      <c r="G4" s="21"/>
      <c r="H4" s="22"/>
      <c r="I4" s="22"/>
      <c r="J4" s="22" t="s">
        <v>39</v>
      </c>
      <c r="K4" s="22"/>
      <c r="L4" s="22"/>
      <c r="M4" s="22" t="s">
        <v>39</v>
      </c>
      <c r="N4" s="22"/>
      <c r="O4" s="23">
        <v>20000</v>
      </c>
      <c r="P4" s="24">
        <v>0.5</v>
      </c>
      <c r="Q4" s="21" t="s">
        <v>52</v>
      </c>
      <c r="R4" s="21" t="s">
        <v>771</v>
      </c>
      <c r="T4" t="s">
        <v>542</v>
      </c>
      <c r="U4" t="s">
        <v>544</v>
      </c>
    </row>
    <row r="5" spans="1:23">
      <c r="A5" s="21" t="s">
        <v>58</v>
      </c>
      <c r="B5" s="21"/>
      <c r="C5" s="21"/>
      <c r="D5" s="21"/>
      <c r="E5" s="21" t="s">
        <v>55</v>
      </c>
      <c r="F5" s="21" t="s">
        <v>523</v>
      </c>
      <c r="G5" s="21"/>
      <c r="H5" s="22" t="s">
        <v>78</v>
      </c>
      <c r="I5" s="22"/>
      <c r="J5" s="22"/>
      <c r="K5" s="22"/>
      <c r="L5" s="22"/>
      <c r="M5" s="22"/>
      <c r="N5" s="22"/>
      <c r="O5" s="22"/>
      <c r="P5" s="21"/>
      <c r="Q5" s="21"/>
      <c r="R5" s="21" t="s">
        <v>726</v>
      </c>
      <c r="T5" t="s">
        <v>44</v>
      </c>
      <c r="U5" t="s">
        <v>44</v>
      </c>
      <c r="V5" t="s">
        <v>1803</v>
      </c>
    </row>
    <row r="6" spans="1:23">
      <c r="A6" s="21" t="s">
        <v>57</v>
      </c>
      <c r="B6" s="21" t="s">
        <v>58</v>
      </c>
      <c r="C6" s="21" t="s">
        <v>58</v>
      </c>
      <c r="D6" s="21" t="s">
        <v>59</v>
      </c>
      <c r="E6" s="21" t="s">
        <v>60</v>
      </c>
      <c r="F6" s="26" t="s">
        <v>790</v>
      </c>
      <c r="G6" s="21" t="s">
        <v>62</v>
      </c>
      <c r="H6" s="22" t="s">
        <v>39</v>
      </c>
      <c r="I6" s="22" t="s">
        <v>63</v>
      </c>
      <c r="J6" s="22" t="s">
        <v>39</v>
      </c>
      <c r="K6" s="22" t="s">
        <v>64</v>
      </c>
      <c r="L6" s="22" t="s">
        <v>64</v>
      </c>
      <c r="M6" s="22" t="s">
        <v>65</v>
      </c>
      <c r="N6" s="22" t="s">
        <v>66</v>
      </c>
      <c r="O6" s="23">
        <v>50000</v>
      </c>
      <c r="P6" s="24">
        <v>0.25</v>
      </c>
      <c r="Q6" s="21" t="s">
        <v>67</v>
      </c>
      <c r="R6" s="21" t="s">
        <v>788</v>
      </c>
      <c r="S6" s="5"/>
      <c r="T6" s="5" t="s">
        <v>1804</v>
      </c>
      <c r="U6" s="5" t="s">
        <v>1805</v>
      </c>
      <c r="V6" t="s">
        <v>1806</v>
      </c>
      <c r="W6" s="5"/>
    </row>
    <row r="7" spans="1:23">
      <c r="A7" s="21" t="s">
        <v>229</v>
      </c>
      <c r="B7" s="21" t="s">
        <v>223</v>
      </c>
      <c r="C7" s="21" t="s">
        <v>223</v>
      </c>
      <c r="D7" s="21" t="s">
        <v>224</v>
      </c>
      <c r="E7" s="21" t="s">
        <v>60</v>
      </c>
      <c r="F7" s="21" t="s">
        <v>225</v>
      </c>
      <c r="G7" s="21" t="s">
        <v>62</v>
      </c>
      <c r="H7" s="22" t="s">
        <v>78</v>
      </c>
      <c r="I7" s="22" t="s">
        <v>63</v>
      </c>
      <c r="J7" s="22" t="s">
        <v>226</v>
      </c>
      <c r="K7" s="22" t="s">
        <v>227</v>
      </c>
      <c r="L7" s="22" t="s">
        <v>227</v>
      </c>
      <c r="M7" s="22" t="s">
        <v>227</v>
      </c>
      <c r="N7" s="22" t="s">
        <v>227</v>
      </c>
      <c r="O7" s="23">
        <v>20000</v>
      </c>
      <c r="P7" s="24">
        <v>0.9</v>
      </c>
      <c r="Q7" s="21" t="s">
        <v>228</v>
      </c>
      <c r="R7" s="21" t="s">
        <v>788</v>
      </c>
      <c r="T7" t="s">
        <v>542</v>
      </c>
      <c r="U7" t="s">
        <v>1800</v>
      </c>
      <c r="V7" t="s">
        <v>1801</v>
      </c>
    </row>
    <row r="8" spans="1:23">
      <c r="A8" s="21" t="s">
        <v>75</v>
      </c>
      <c r="B8" s="21" t="s">
        <v>75</v>
      </c>
      <c r="C8" s="21"/>
      <c r="D8" s="21"/>
      <c r="E8" s="21" t="s">
        <v>55</v>
      </c>
      <c r="F8" s="21" t="s">
        <v>76</v>
      </c>
      <c r="G8" s="21"/>
      <c r="H8" s="22" t="s">
        <v>77</v>
      </c>
      <c r="I8" s="22" t="s">
        <v>77</v>
      </c>
      <c r="J8" s="22" t="s">
        <v>78</v>
      </c>
      <c r="K8" s="22" t="s">
        <v>78</v>
      </c>
      <c r="L8" s="22" t="s">
        <v>39</v>
      </c>
      <c r="M8" s="22" t="s">
        <v>78</v>
      </c>
      <c r="N8" s="22" t="s">
        <v>78</v>
      </c>
      <c r="O8" s="23"/>
      <c r="P8" s="21"/>
      <c r="Q8" s="21" t="s">
        <v>1807</v>
      </c>
      <c r="R8" s="21" t="s">
        <v>726</v>
      </c>
      <c r="T8" t="s">
        <v>44</v>
      </c>
      <c r="U8" t="s">
        <v>44</v>
      </c>
      <c r="V8" t="s">
        <v>1808</v>
      </c>
    </row>
    <row r="9" spans="1:23">
      <c r="A9" s="33" t="s">
        <v>85</v>
      </c>
      <c r="B9" s="33" t="s">
        <v>85</v>
      </c>
      <c r="C9" s="33" t="s">
        <v>85</v>
      </c>
      <c r="D9" s="33" t="s">
        <v>86</v>
      </c>
      <c r="E9" s="33" t="s">
        <v>71</v>
      </c>
      <c r="F9" s="33" t="s">
        <v>87</v>
      </c>
      <c r="G9" s="33"/>
      <c r="H9" s="49"/>
      <c r="I9" s="22"/>
      <c r="J9" s="22"/>
      <c r="K9" s="22"/>
      <c r="L9" s="22"/>
      <c r="M9" s="22"/>
      <c r="N9" s="22"/>
      <c r="O9" s="23">
        <v>20000</v>
      </c>
      <c r="P9" s="21"/>
      <c r="Q9" s="21"/>
      <c r="R9" s="21" t="s">
        <v>792</v>
      </c>
      <c r="S9" t="s">
        <v>1809</v>
      </c>
      <c r="T9" t="s">
        <v>542</v>
      </c>
      <c r="U9" t="s">
        <v>544</v>
      </c>
      <c r="V9" t="s">
        <v>1810</v>
      </c>
    </row>
    <row r="10" spans="1:23" s="66" customFormat="1">
      <c r="A10" s="67" t="s">
        <v>293</v>
      </c>
      <c r="B10" s="67" t="s">
        <v>294</v>
      </c>
      <c r="C10" s="67" t="s">
        <v>92</v>
      </c>
      <c r="D10" s="67"/>
      <c r="E10" s="67" t="s">
        <v>295</v>
      </c>
      <c r="F10" s="67" t="s">
        <v>701</v>
      </c>
      <c r="G10" s="67"/>
      <c r="H10" s="68" t="s">
        <v>39</v>
      </c>
      <c r="I10" s="68" t="s">
        <v>39</v>
      </c>
      <c r="J10" s="68" t="s">
        <v>39</v>
      </c>
      <c r="K10" s="68" t="s">
        <v>78</v>
      </c>
      <c r="L10" s="68" t="s">
        <v>78</v>
      </c>
      <c r="M10" s="68"/>
      <c r="N10" s="68"/>
      <c r="O10" s="69">
        <v>20000</v>
      </c>
      <c r="P10" s="67"/>
      <c r="Q10" s="67"/>
      <c r="R10" s="67" t="s">
        <v>527</v>
      </c>
      <c r="S10" s="66" t="s">
        <v>545</v>
      </c>
      <c r="T10" s="66" t="s">
        <v>542</v>
      </c>
      <c r="U10" s="66" t="s">
        <v>544</v>
      </c>
      <c r="V10" s="66" t="s">
        <v>546</v>
      </c>
    </row>
    <row r="11" spans="1:23">
      <c r="A11" s="21" t="s">
        <v>88</v>
      </c>
      <c r="B11" s="21" t="s">
        <v>88</v>
      </c>
      <c r="C11" s="21"/>
      <c r="D11" s="21"/>
      <c r="E11" s="21" t="s">
        <v>55</v>
      </c>
      <c r="F11" s="21" t="s">
        <v>89</v>
      </c>
      <c r="G11" s="21"/>
      <c r="H11" s="22" t="s">
        <v>78</v>
      </c>
      <c r="I11" s="22" t="s">
        <v>77</v>
      </c>
      <c r="J11" s="22" t="s">
        <v>39</v>
      </c>
      <c r="K11" s="22" t="s">
        <v>78</v>
      </c>
      <c r="L11" s="22" t="s">
        <v>39</v>
      </c>
      <c r="M11" s="22" t="s">
        <v>78</v>
      </c>
      <c r="N11" s="22"/>
      <c r="O11" s="23">
        <v>50000</v>
      </c>
      <c r="P11" s="21"/>
      <c r="Q11" s="21"/>
      <c r="R11" s="21" t="s">
        <v>726</v>
      </c>
      <c r="T11" t="s">
        <v>542</v>
      </c>
      <c r="U11" t="s">
        <v>543</v>
      </c>
      <c r="V11" t="s">
        <v>1811</v>
      </c>
    </row>
    <row r="12" spans="1:23">
      <c r="A12" s="36" t="s">
        <v>68</v>
      </c>
      <c r="B12" s="31" t="s">
        <v>418</v>
      </c>
      <c r="C12" s="31" t="s">
        <v>418</v>
      </c>
      <c r="D12" s="31" t="s">
        <v>107</v>
      </c>
      <c r="E12" s="21" t="s">
        <v>71</v>
      </c>
      <c r="F12" s="21" t="s">
        <v>419</v>
      </c>
      <c r="G12" s="21"/>
      <c r="H12" s="22"/>
      <c r="I12" s="22"/>
      <c r="J12" s="22"/>
      <c r="K12" s="22"/>
      <c r="L12" s="22"/>
      <c r="M12" s="22"/>
      <c r="N12" s="22"/>
      <c r="O12" s="22"/>
      <c r="P12" s="21"/>
      <c r="Q12" s="21"/>
      <c r="R12" s="21" t="s">
        <v>792</v>
      </c>
      <c r="T12" t="s">
        <v>44</v>
      </c>
      <c r="U12" t="s">
        <v>44</v>
      </c>
      <c r="V12" t="s">
        <v>1812</v>
      </c>
    </row>
    <row r="13" spans="1:23">
      <c r="A13" s="21" t="s">
        <v>68</v>
      </c>
      <c r="B13" s="31" t="s">
        <v>69</v>
      </c>
      <c r="C13" s="31" t="s">
        <v>69</v>
      </c>
      <c r="D13" s="31" t="s">
        <v>70</v>
      </c>
      <c r="E13" s="21" t="s">
        <v>71</v>
      </c>
      <c r="F13" s="21" t="s">
        <v>72</v>
      </c>
      <c r="G13" s="21"/>
      <c r="H13" s="22"/>
      <c r="I13" s="22"/>
      <c r="J13" s="22"/>
      <c r="K13" s="22"/>
      <c r="L13" s="22"/>
      <c r="M13" s="22"/>
      <c r="N13" s="22"/>
      <c r="O13" s="22"/>
      <c r="P13" s="21"/>
      <c r="Q13" s="21"/>
      <c r="R13" s="21" t="s">
        <v>792</v>
      </c>
      <c r="T13" t="s">
        <v>44</v>
      </c>
      <c r="U13" t="s">
        <v>44</v>
      </c>
      <c r="V13" t="s">
        <v>1813</v>
      </c>
    </row>
    <row r="14" spans="1:23">
      <c r="A14" s="21" t="s">
        <v>68</v>
      </c>
      <c r="B14" s="31" t="s">
        <v>73</v>
      </c>
      <c r="C14" s="31" t="s">
        <v>73</v>
      </c>
      <c r="D14" s="31" t="s">
        <v>70</v>
      </c>
      <c r="E14" s="21" t="s">
        <v>71</v>
      </c>
      <c r="F14" s="21" t="s">
        <v>72</v>
      </c>
      <c r="G14" s="21"/>
      <c r="H14" s="22"/>
      <c r="I14" s="22"/>
      <c r="J14" s="22"/>
      <c r="K14" s="22"/>
      <c r="L14" s="22"/>
      <c r="M14" s="22"/>
      <c r="N14" s="22"/>
      <c r="O14" s="22"/>
      <c r="P14" s="21"/>
      <c r="Q14" s="21"/>
      <c r="R14" s="21" t="s">
        <v>792</v>
      </c>
      <c r="T14" t="s">
        <v>44</v>
      </c>
      <c r="U14" t="s">
        <v>44</v>
      </c>
      <c r="V14" t="s">
        <v>1813</v>
      </c>
    </row>
    <row r="15" spans="1:23" s="50" customFormat="1">
      <c r="A15" s="21" t="s">
        <v>68</v>
      </c>
      <c r="B15" s="31" t="s">
        <v>74</v>
      </c>
      <c r="C15" s="31" t="s">
        <v>74</v>
      </c>
      <c r="D15" s="31" t="s">
        <v>70</v>
      </c>
      <c r="E15" s="21" t="s">
        <v>71</v>
      </c>
      <c r="F15" s="21" t="s">
        <v>72</v>
      </c>
      <c r="G15" s="21"/>
      <c r="H15" s="22"/>
      <c r="I15" s="22"/>
      <c r="J15" s="22"/>
      <c r="K15" s="22"/>
      <c r="L15" s="22"/>
      <c r="M15" s="22"/>
      <c r="N15" s="22"/>
      <c r="O15" s="32">
        <v>75000</v>
      </c>
      <c r="P15" s="21"/>
      <c r="Q15" s="21"/>
      <c r="R15" s="21" t="s">
        <v>792</v>
      </c>
      <c r="S15"/>
      <c r="T15" t="s">
        <v>542</v>
      </c>
      <c r="U15" t="s">
        <v>549</v>
      </c>
      <c r="V15" t="s">
        <v>1814</v>
      </c>
      <c r="W15"/>
    </row>
    <row r="16" spans="1:23">
      <c r="A16" s="21" t="s">
        <v>96</v>
      </c>
      <c r="B16" s="21" t="s">
        <v>96</v>
      </c>
      <c r="C16" s="21" t="s">
        <v>96</v>
      </c>
      <c r="D16" s="21"/>
      <c r="E16" s="21" t="s">
        <v>50</v>
      </c>
      <c r="F16" s="21" t="s">
        <v>51</v>
      </c>
      <c r="G16" s="21"/>
      <c r="H16" s="22"/>
      <c r="I16" s="22" t="s">
        <v>39</v>
      </c>
      <c r="J16" s="22"/>
      <c r="K16" s="22"/>
      <c r="L16" s="22"/>
      <c r="M16" s="22" t="s">
        <v>39</v>
      </c>
      <c r="N16" s="22"/>
      <c r="O16" s="23">
        <v>20000</v>
      </c>
      <c r="P16" s="24">
        <v>0.9</v>
      </c>
      <c r="Q16" s="21" t="s">
        <v>97</v>
      </c>
      <c r="R16" s="21" t="s">
        <v>771</v>
      </c>
      <c r="T16" t="s">
        <v>542</v>
      </c>
      <c r="U16" t="s">
        <v>544</v>
      </c>
      <c r="V16" t="s">
        <v>1815</v>
      </c>
    </row>
    <row r="17" spans="1:23">
      <c r="A17" s="29" t="s">
        <v>361</v>
      </c>
      <c r="B17" s="29" t="s">
        <v>362</v>
      </c>
      <c r="C17" s="21"/>
      <c r="D17" s="21"/>
      <c r="E17" s="21" t="s">
        <v>36</v>
      </c>
      <c r="F17" s="21" t="s">
        <v>1816</v>
      </c>
      <c r="G17" s="21" t="s">
        <v>364</v>
      </c>
      <c r="H17" s="22" t="s">
        <v>77</v>
      </c>
      <c r="I17" s="22" t="s">
        <v>77</v>
      </c>
      <c r="J17" s="22" t="s">
        <v>77</v>
      </c>
      <c r="K17" s="22" t="s">
        <v>77</v>
      </c>
      <c r="L17" s="22" t="s">
        <v>77</v>
      </c>
      <c r="M17" s="22" t="s">
        <v>77</v>
      </c>
      <c r="N17" s="22" t="s">
        <v>77</v>
      </c>
      <c r="O17" s="22" t="s">
        <v>77</v>
      </c>
      <c r="P17" s="22" t="s">
        <v>77</v>
      </c>
      <c r="Q17" s="21" t="s">
        <v>365</v>
      </c>
      <c r="R17" s="21" t="s">
        <v>527</v>
      </c>
      <c r="T17" t="s">
        <v>551</v>
      </c>
      <c r="U17" t="s">
        <v>551</v>
      </c>
    </row>
    <row r="18" spans="1:23">
      <c r="A18" s="21" t="s">
        <v>458</v>
      </c>
      <c r="B18" s="21" t="s">
        <v>459</v>
      </c>
      <c r="C18" s="21" t="s">
        <v>459</v>
      </c>
      <c r="D18" s="21"/>
      <c r="E18" s="21" t="s">
        <v>111</v>
      </c>
      <c r="F18" s="31" t="s">
        <v>401</v>
      </c>
      <c r="G18" s="31"/>
      <c r="H18" s="51"/>
      <c r="I18" s="22"/>
      <c r="J18" s="22"/>
      <c r="K18" s="22"/>
      <c r="L18" s="22"/>
      <c r="M18" s="22"/>
      <c r="N18" s="22"/>
      <c r="O18" s="32">
        <v>75000</v>
      </c>
      <c r="P18" s="21"/>
      <c r="Q18" s="21"/>
      <c r="R18" s="21" t="s">
        <v>754</v>
      </c>
      <c r="T18" t="s">
        <v>542</v>
      </c>
      <c r="U18" t="s">
        <v>549</v>
      </c>
    </row>
    <row r="19" spans="1:23" s="50" customFormat="1">
      <c r="A19" s="21" t="s">
        <v>113</v>
      </c>
      <c r="B19" s="21" t="s">
        <v>114</v>
      </c>
      <c r="C19" s="21" t="s">
        <v>77</v>
      </c>
      <c r="D19" s="21"/>
      <c r="E19" s="21" t="s">
        <v>55</v>
      </c>
      <c r="F19" s="21" t="s">
        <v>115</v>
      </c>
      <c r="G19" s="21"/>
      <c r="H19" s="22" t="s">
        <v>39</v>
      </c>
      <c r="I19" s="22" t="s">
        <v>77</v>
      </c>
      <c r="J19" s="22" t="s">
        <v>39</v>
      </c>
      <c r="K19" s="22" t="s">
        <v>44</v>
      </c>
      <c r="L19" s="22" t="s">
        <v>78</v>
      </c>
      <c r="M19" s="22" t="s">
        <v>39</v>
      </c>
      <c r="N19" s="22" t="s">
        <v>78</v>
      </c>
      <c r="O19" s="23">
        <v>20000</v>
      </c>
      <c r="P19" s="21"/>
      <c r="Q19" s="21"/>
      <c r="R19" s="21" t="s">
        <v>726</v>
      </c>
      <c r="S19"/>
      <c r="T19" t="s">
        <v>542</v>
      </c>
      <c r="U19" t="s">
        <v>544</v>
      </c>
      <c r="V19"/>
      <c r="W19"/>
    </row>
    <row r="20" spans="1:23">
      <c r="A20" s="21" t="s">
        <v>98</v>
      </c>
      <c r="B20" s="31" t="s">
        <v>99</v>
      </c>
      <c r="C20" s="31" t="s">
        <v>99</v>
      </c>
      <c r="D20" s="31" t="s">
        <v>100</v>
      </c>
      <c r="E20" s="21" t="s">
        <v>71</v>
      </c>
      <c r="F20" s="21" t="s">
        <v>101</v>
      </c>
      <c r="G20" s="21"/>
      <c r="H20" s="22"/>
      <c r="I20" s="22"/>
      <c r="J20" s="22"/>
      <c r="K20" s="22"/>
      <c r="L20" s="22"/>
      <c r="M20" s="22"/>
      <c r="N20" s="22"/>
      <c r="O20" s="23">
        <v>20000</v>
      </c>
      <c r="P20" s="21"/>
      <c r="Q20" s="21"/>
      <c r="R20" s="21" t="s">
        <v>792</v>
      </c>
      <c r="S20" t="s">
        <v>1817</v>
      </c>
      <c r="T20" t="s">
        <v>542</v>
      </c>
      <c r="U20" t="s">
        <v>544</v>
      </c>
    </row>
    <row r="21" spans="1:23">
      <c r="A21" s="21" t="s">
        <v>98</v>
      </c>
      <c r="B21" s="31" t="s">
        <v>102</v>
      </c>
      <c r="C21" s="31" t="s">
        <v>102</v>
      </c>
      <c r="D21" s="31" t="s">
        <v>100</v>
      </c>
      <c r="E21" s="21" t="s">
        <v>71</v>
      </c>
      <c r="F21" s="21" t="s">
        <v>101</v>
      </c>
      <c r="G21" s="21"/>
      <c r="H21" s="22"/>
      <c r="I21" s="22"/>
      <c r="J21" s="22"/>
      <c r="K21" s="22"/>
      <c r="L21" s="22"/>
      <c r="M21" s="22"/>
      <c r="N21" s="22"/>
      <c r="O21" s="23">
        <v>20000</v>
      </c>
      <c r="P21" s="21"/>
      <c r="Q21" s="21"/>
      <c r="R21" s="21" t="s">
        <v>792</v>
      </c>
      <c r="S21" t="s">
        <v>1817</v>
      </c>
      <c r="T21" t="s">
        <v>542</v>
      </c>
      <c r="U21" t="s">
        <v>544</v>
      </c>
    </row>
    <row r="22" spans="1:23">
      <c r="A22" s="21" t="s">
        <v>98</v>
      </c>
      <c r="B22" s="31" t="s">
        <v>103</v>
      </c>
      <c r="C22" s="31" t="s">
        <v>103</v>
      </c>
      <c r="D22" s="31" t="s">
        <v>100</v>
      </c>
      <c r="E22" s="21" t="s">
        <v>71</v>
      </c>
      <c r="F22" s="21" t="s">
        <v>101</v>
      </c>
      <c r="G22" s="21"/>
      <c r="H22" s="22"/>
      <c r="I22" s="22"/>
      <c r="J22" s="22"/>
      <c r="K22" s="22"/>
      <c r="L22" s="22"/>
      <c r="M22" s="22"/>
      <c r="N22" s="22"/>
      <c r="O22" s="23">
        <v>20000</v>
      </c>
      <c r="P22" s="21"/>
      <c r="Q22" s="21"/>
      <c r="R22" s="21" t="s">
        <v>792</v>
      </c>
      <c r="S22" t="s">
        <v>1817</v>
      </c>
      <c r="T22" t="s">
        <v>542</v>
      </c>
      <c r="U22" t="s">
        <v>544</v>
      </c>
    </row>
    <row r="23" spans="1:23">
      <c r="A23" s="21" t="s">
        <v>98</v>
      </c>
      <c r="B23" s="31" t="s">
        <v>104</v>
      </c>
      <c r="C23" s="31" t="s">
        <v>104</v>
      </c>
      <c r="D23" s="31" t="s">
        <v>100</v>
      </c>
      <c r="E23" s="21" t="s">
        <v>71</v>
      </c>
      <c r="F23" s="21" t="s">
        <v>101</v>
      </c>
      <c r="G23" s="21"/>
      <c r="H23" s="22"/>
      <c r="I23" s="22"/>
      <c r="J23" s="22"/>
      <c r="K23" s="22"/>
      <c r="L23" s="22"/>
      <c r="M23" s="22"/>
      <c r="N23" s="22"/>
      <c r="O23" s="23">
        <v>20000</v>
      </c>
      <c r="P23" s="21"/>
      <c r="Q23" s="21"/>
      <c r="R23" s="21" t="s">
        <v>792</v>
      </c>
      <c r="S23" t="s">
        <v>1817</v>
      </c>
      <c r="T23" t="s">
        <v>542</v>
      </c>
      <c r="U23" t="s">
        <v>544</v>
      </c>
    </row>
    <row r="24" spans="1:23">
      <c r="A24" s="21" t="s">
        <v>98</v>
      </c>
      <c r="B24" s="31" t="s">
        <v>105</v>
      </c>
      <c r="C24" s="31" t="s">
        <v>105</v>
      </c>
      <c r="D24" s="31" t="s">
        <v>100</v>
      </c>
      <c r="E24" s="21" t="s">
        <v>71</v>
      </c>
      <c r="F24" s="21" t="s">
        <v>101</v>
      </c>
      <c r="G24" s="21"/>
      <c r="H24" s="22"/>
      <c r="I24" s="22"/>
      <c r="J24" s="22"/>
      <c r="K24" s="22"/>
      <c r="L24" s="22"/>
      <c r="M24" s="22"/>
      <c r="N24" s="22"/>
      <c r="O24" s="23">
        <v>20000</v>
      </c>
      <c r="P24" s="21"/>
      <c r="Q24" s="21"/>
      <c r="R24" s="21" t="s">
        <v>792</v>
      </c>
      <c r="S24" t="s">
        <v>1817</v>
      </c>
      <c r="T24" t="s">
        <v>542</v>
      </c>
      <c r="U24" t="s">
        <v>544</v>
      </c>
    </row>
    <row r="25" spans="1:23">
      <c r="A25" s="21" t="s">
        <v>98</v>
      </c>
      <c r="B25" s="31" t="s">
        <v>109</v>
      </c>
      <c r="C25" s="31" t="s">
        <v>109</v>
      </c>
      <c r="D25" s="31" t="s">
        <v>100</v>
      </c>
      <c r="E25" s="21" t="s">
        <v>71</v>
      </c>
      <c r="F25" s="21" t="s">
        <v>101</v>
      </c>
      <c r="G25" s="21"/>
      <c r="H25" s="22"/>
      <c r="I25" s="22"/>
      <c r="J25" s="22"/>
      <c r="K25" s="22"/>
      <c r="L25" s="22"/>
      <c r="M25" s="22"/>
      <c r="N25" s="22"/>
      <c r="O25" s="23">
        <v>20000</v>
      </c>
      <c r="P25" s="21"/>
      <c r="Q25" s="21"/>
      <c r="R25" s="21" t="s">
        <v>792</v>
      </c>
      <c r="S25" t="s">
        <v>1817</v>
      </c>
      <c r="T25" t="s">
        <v>542</v>
      </c>
      <c r="U25" t="s">
        <v>544</v>
      </c>
    </row>
    <row r="26" spans="1:23">
      <c r="A26" s="21" t="s">
        <v>98</v>
      </c>
      <c r="B26" s="31" t="s">
        <v>387</v>
      </c>
      <c r="C26" s="31" t="s">
        <v>387</v>
      </c>
      <c r="D26" s="31" t="s">
        <v>100</v>
      </c>
      <c r="E26" s="21" t="s">
        <v>71</v>
      </c>
      <c r="F26" s="21" t="s">
        <v>101</v>
      </c>
      <c r="G26" s="21"/>
      <c r="H26" s="22"/>
      <c r="I26" s="22"/>
      <c r="J26" s="22"/>
      <c r="K26" s="22"/>
      <c r="L26" s="22"/>
      <c r="M26" s="22"/>
      <c r="N26" s="22"/>
      <c r="O26" s="23">
        <v>20000</v>
      </c>
      <c r="P26" s="21"/>
      <c r="Q26" s="21"/>
      <c r="R26" s="21" t="s">
        <v>792</v>
      </c>
      <c r="S26" t="s">
        <v>1817</v>
      </c>
      <c r="T26" t="s">
        <v>542</v>
      </c>
      <c r="U26" t="s">
        <v>544</v>
      </c>
    </row>
    <row r="27" spans="1:23">
      <c r="A27" s="21" t="s">
        <v>98</v>
      </c>
      <c r="B27" s="31" t="s">
        <v>106</v>
      </c>
      <c r="C27" s="31" t="s">
        <v>106</v>
      </c>
      <c r="D27" s="31" t="s">
        <v>107</v>
      </c>
      <c r="E27" s="21" t="s">
        <v>71</v>
      </c>
      <c r="F27" s="21" t="s">
        <v>108</v>
      </c>
      <c r="G27" s="21"/>
      <c r="H27" s="22"/>
      <c r="I27" s="22"/>
      <c r="J27" s="22"/>
      <c r="K27" s="22"/>
      <c r="L27" s="22"/>
      <c r="M27" s="22"/>
      <c r="N27" s="22"/>
      <c r="O27" s="23">
        <v>50000</v>
      </c>
      <c r="P27" s="21"/>
      <c r="Q27" s="21"/>
      <c r="R27" s="21" t="s">
        <v>792</v>
      </c>
      <c r="S27" t="s">
        <v>1817</v>
      </c>
      <c r="T27" t="s">
        <v>1818</v>
      </c>
      <c r="U27" t="s">
        <v>1805</v>
      </c>
      <c r="V27" t="s">
        <v>1819</v>
      </c>
    </row>
    <row r="28" spans="1:23" ht="30">
      <c r="A28" s="21" t="s">
        <v>118</v>
      </c>
      <c r="B28" s="21" t="s">
        <v>119</v>
      </c>
      <c r="C28" s="21" t="s">
        <v>119</v>
      </c>
      <c r="D28" s="21" t="s">
        <v>548</v>
      </c>
      <c r="E28" s="21" t="s">
        <v>120</v>
      </c>
      <c r="F28" s="21" t="s">
        <v>121</v>
      </c>
      <c r="G28" s="84" t="s">
        <v>676</v>
      </c>
      <c r="H28" s="22" t="s">
        <v>39</v>
      </c>
      <c r="I28" s="22" t="s">
        <v>39</v>
      </c>
      <c r="J28" s="22" t="s">
        <v>39</v>
      </c>
      <c r="K28" s="22" t="s">
        <v>44</v>
      </c>
      <c r="L28" s="22" t="s">
        <v>78</v>
      </c>
      <c r="M28" s="22"/>
      <c r="N28" s="22"/>
      <c r="O28" s="32">
        <v>75000</v>
      </c>
      <c r="P28" s="21"/>
      <c r="Q28" s="21" t="s">
        <v>123</v>
      </c>
      <c r="R28" s="21" t="s">
        <v>527</v>
      </c>
      <c r="T28" t="s">
        <v>542</v>
      </c>
      <c r="U28" t="s">
        <v>549</v>
      </c>
      <c r="V28" t="s">
        <v>550</v>
      </c>
      <c r="W28" t="s">
        <v>1820</v>
      </c>
    </row>
    <row r="29" spans="1:23" s="66" customFormat="1">
      <c r="A29" s="67" t="s">
        <v>297</v>
      </c>
      <c r="B29" s="67" t="s">
        <v>294</v>
      </c>
      <c r="C29" s="67" t="s">
        <v>92</v>
      </c>
      <c r="D29" s="67"/>
      <c r="E29" s="67" t="s">
        <v>295</v>
      </c>
      <c r="F29" s="67" t="s">
        <v>701</v>
      </c>
      <c r="G29" s="67"/>
      <c r="H29" s="68" t="s">
        <v>39</v>
      </c>
      <c r="I29" s="68" t="s">
        <v>39</v>
      </c>
      <c r="J29" s="68" t="s">
        <v>39</v>
      </c>
      <c r="K29" s="68" t="s">
        <v>78</v>
      </c>
      <c r="L29" s="68" t="s">
        <v>78</v>
      </c>
      <c r="M29" s="68"/>
      <c r="N29" s="68"/>
      <c r="O29" s="69">
        <v>20000</v>
      </c>
      <c r="P29" s="67"/>
      <c r="Q29" s="67"/>
      <c r="R29" s="67" t="s">
        <v>527</v>
      </c>
      <c r="S29" s="66" t="s">
        <v>545</v>
      </c>
      <c r="T29" s="66" t="s">
        <v>542</v>
      </c>
      <c r="U29" s="66" t="s">
        <v>544</v>
      </c>
      <c r="V29" s="66" t="s">
        <v>546</v>
      </c>
    </row>
    <row r="30" spans="1:23">
      <c r="A30" s="21" t="s">
        <v>110</v>
      </c>
      <c r="B30" s="21" t="s">
        <v>110</v>
      </c>
      <c r="C30" s="21" t="s">
        <v>110</v>
      </c>
      <c r="D30" s="21"/>
      <c r="E30" s="21" t="s">
        <v>111</v>
      </c>
      <c r="F30" s="21" t="s">
        <v>112</v>
      </c>
      <c r="G30" s="31"/>
      <c r="H30" s="51"/>
      <c r="I30" s="22"/>
      <c r="J30" s="22"/>
      <c r="K30" s="22"/>
      <c r="L30" s="22"/>
      <c r="M30" s="22"/>
      <c r="N30" s="22"/>
      <c r="O30" s="22"/>
      <c r="P30" s="21"/>
      <c r="Q30" s="21"/>
      <c r="R30" s="21" t="s">
        <v>754</v>
      </c>
      <c r="T30" t="s">
        <v>44</v>
      </c>
      <c r="U30" t="s">
        <v>44</v>
      </c>
      <c r="V30" t="s">
        <v>1821</v>
      </c>
    </row>
    <row r="31" spans="1:23">
      <c r="A31" s="21" t="s">
        <v>53</v>
      </c>
      <c r="B31" s="21" t="s">
        <v>54</v>
      </c>
      <c r="C31" s="21" t="s">
        <v>53</v>
      </c>
      <c r="D31" s="21"/>
      <c r="E31" s="21" t="s">
        <v>55</v>
      </c>
      <c r="F31" s="21" t="s">
        <v>56</v>
      </c>
      <c r="G31" s="21"/>
      <c r="H31" s="22" t="s">
        <v>39</v>
      </c>
      <c r="I31" s="22"/>
      <c r="J31" s="22"/>
      <c r="K31" s="22"/>
      <c r="L31" s="22"/>
      <c r="M31" s="22"/>
      <c r="N31" s="22"/>
      <c r="O31" s="23">
        <v>20000</v>
      </c>
      <c r="P31" s="21"/>
      <c r="Q31" s="21"/>
      <c r="R31" s="21" t="s">
        <v>726</v>
      </c>
      <c r="T31" t="s">
        <v>542</v>
      </c>
      <c r="U31" t="s">
        <v>544</v>
      </c>
    </row>
    <row r="32" spans="1:23">
      <c r="A32" s="21" t="s">
        <v>230</v>
      </c>
      <c r="B32" s="21" t="s">
        <v>223</v>
      </c>
      <c r="C32" s="21" t="s">
        <v>223</v>
      </c>
      <c r="D32" s="21" t="s">
        <v>224</v>
      </c>
      <c r="E32" s="21" t="s">
        <v>60</v>
      </c>
      <c r="F32" s="21" t="s">
        <v>225</v>
      </c>
      <c r="G32" s="21" t="s">
        <v>62</v>
      </c>
      <c r="H32" s="22" t="s">
        <v>78</v>
      </c>
      <c r="I32" s="22" t="s">
        <v>63</v>
      </c>
      <c r="J32" s="22" t="s">
        <v>226</v>
      </c>
      <c r="K32" s="22" t="s">
        <v>227</v>
      </c>
      <c r="L32" s="22" t="s">
        <v>227</v>
      </c>
      <c r="M32" s="22" t="s">
        <v>227</v>
      </c>
      <c r="N32" s="22" t="s">
        <v>227</v>
      </c>
      <c r="O32" s="23">
        <v>20000</v>
      </c>
      <c r="P32" s="24">
        <v>0.9</v>
      </c>
      <c r="Q32" s="21" t="s">
        <v>228</v>
      </c>
      <c r="R32" s="21" t="s">
        <v>788</v>
      </c>
      <c r="T32" t="s">
        <v>542</v>
      </c>
      <c r="U32" t="s">
        <v>1800</v>
      </c>
      <c r="V32" t="s">
        <v>1801</v>
      </c>
    </row>
    <row r="33" spans="1:25">
      <c r="A33" s="27" t="s">
        <v>394</v>
      </c>
      <c r="B33" s="27" t="s">
        <v>395</v>
      </c>
      <c r="C33" s="27" t="s">
        <v>92</v>
      </c>
      <c r="D33" s="27"/>
      <c r="E33" s="27" t="s">
        <v>161</v>
      </c>
      <c r="F33" s="27" t="s">
        <v>396</v>
      </c>
      <c r="G33" s="56" t="s">
        <v>397</v>
      </c>
      <c r="H33" s="57" t="s">
        <v>44</v>
      </c>
      <c r="I33" s="57" t="s">
        <v>44</v>
      </c>
      <c r="J33" s="57" t="s">
        <v>78</v>
      </c>
      <c r="K33" s="57" t="s">
        <v>78</v>
      </c>
      <c r="L33" s="57" t="s">
        <v>78</v>
      </c>
      <c r="M33" s="57" t="s">
        <v>78</v>
      </c>
      <c r="N33" s="57" t="s">
        <v>78</v>
      </c>
      <c r="O33" s="57">
        <v>0</v>
      </c>
      <c r="P33" s="27"/>
      <c r="Q33" s="27" t="s">
        <v>398</v>
      </c>
      <c r="R33" s="27" t="s">
        <v>527</v>
      </c>
      <c r="S33" s="58"/>
      <c r="T33" s="58" t="s">
        <v>551</v>
      </c>
      <c r="U33" s="58" t="s">
        <v>551</v>
      </c>
      <c r="V33" s="59"/>
      <c r="W33" s="58"/>
      <c r="X33" s="58"/>
      <c r="Y33" s="58"/>
    </row>
    <row r="34" spans="1:25">
      <c r="A34" s="21" t="s">
        <v>116</v>
      </c>
      <c r="B34" s="21" t="s">
        <v>117</v>
      </c>
      <c r="C34" s="21" t="s">
        <v>117</v>
      </c>
      <c r="D34" s="21"/>
      <c r="E34" s="21" t="s">
        <v>50</v>
      </c>
      <c r="F34" s="21" t="s">
        <v>51</v>
      </c>
      <c r="G34" s="21"/>
      <c r="H34" s="22"/>
      <c r="I34" s="22" t="s">
        <v>39</v>
      </c>
      <c r="J34" s="22" t="s">
        <v>39</v>
      </c>
      <c r="K34" s="22"/>
      <c r="L34" s="22" t="s">
        <v>39</v>
      </c>
      <c r="M34" s="22"/>
      <c r="N34" s="22"/>
      <c r="O34" s="23">
        <v>20000</v>
      </c>
      <c r="P34" s="24">
        <v>0.8</v>
      </c>
      <c r="Q34" s="21" t="s">
        <v>97</v>
      </c>
      <c r="R34" s="21" t="s">
        <v>771</v>
      </c>
      <c r="T34" t="s">
        <v>542</v>
      </c>
      <c r="U34" t="s">
        <v>544</v>
      </c>
    </row>
    <row r="35" spans="1:25">
      <c r="A35" s="21" t="s">
        <v>142</v>
      </c>
      <c r="B35" s="21" t="s">
        <v>143</v>
      </c>
      <c r="C35" s="21" t="s">
        <v>143</v>
      </c>
      <c r="D35" s="21"/>
      <c r="E35" s="21" t="s">
        <v>55</v>
      </c>
      <c r="F35" s="21" t="s">
        <v>144</v>
      </c>
      <c r="G35" s="21"/>
      <c r="H35" s="22" t="s">
        <v>78</v>
      </c>
      <c r="I35" s="22"/>
      <c r="J35" s="22"/>
      <c r="K35" s="22" t="s">
        <v>44</v>
      </c>
      <c r="L35" s="22"/>
      <c r="M35" s="22"/>
      <c r="N35" s="22"/>
      <c r="O35" s="23">
        <v>100000</v>
      </c>
      <c r="P35" s="21"/>
      <c r="Q35" s="21" t="s">
        <v>145</v>
      </c>
      <c r="R35" s="21" t="s">
        <v>726</v>
      </c>
      <c r="T35" t="s">
        <v>1822</v>
      </c>
      <c r="U35" t="s">
        <v>556</v>
      </c>
      <c r="V35" t="s">
        <v>1823</v>
      </c>
    </row>
    <row r="36" spans="1:25" s="66" customFormat="1">
      <c r="A36" s="67" t="s">
        <v>207</v>
      </c>
      <c r="B36" s="67" t="s">
        <v>208</v>
      </c>
      <c r="C36" s="67" t="s">
        <v>92</v>
      </c>
      <c r="D36" s="67"/>
      <c r="E36" s="67" t="s">
        <v>120</v>
      </c>
      <c r="F36" s="67" t="s">
        <v>204</v>
      </c>
      <c r="G36" s="70" t="s">
        <v>209</v>
      </c>
      <c r="H36" s="68" t="s">
        <v>206</v>
      </c>
      <c r="I36" s="68" t="s">
        <v>39</v>
      </c>
      <c r="J36" s="68"/>
      <c r="K36" s="68"/>
      <c r="L36" s="68"/>
      <c r="M36" s="68"/>
      <c r="N36" s="68"/>
      <c r="O36" s="69">
        <v>20000</v>
      </c>
      <c r="P36" s="67"/>
      <c r="Q36" s="67"/>
      <c r="R36" s="67" t="s">
        <v>527</v>
      </c>
      <c r="S36" s="66" t="s">
        <v>545</v>
      </c>
      <c r="T36" s="66" t="s">
        <v>542</v>
      </c>
      <c r="U36" s="66" t="s">
        <v>544</v>
      </c>
      <c r="V36" s="66" t="s">
        <v>546</v>
      </c>
    </row>
    <row r="37" spans="1:25">
      <c r="A37" s="27" t="s">
        <v>197</v>
      </c>
      <c r="B37" s="27" t="s">
        <v>198</v>
      </c>
      <c r="C37" s="27" t="s">
        <v>92</v>
      </c>
      <c r="D37" s="27"/>
      <c r="E37" s="27" t="s">
        <v>120</v>
      </c>
      <c r="F37" s="27" t="s">
        <v>199</v>
      </c>
      <c r="G37" s="21" t="s">
        <v>1824</v>
      </c>
      <c r="H37" s="22" t="s">
        <v>78</v>
      </c>
      <c r="I37" s="22"/>
      <c r="J37" s="22" t="s">
        <v>476</v>
      </c>
      <c r="K37" s="22" t="s">
        <v>476</v>
      </c>
      <c r="L37" s="22"/>
      <c r="M37" s="22"/>
      <c r="N37" s="22" t="s">
        <v>476</v>
      </c>
      <c r="O37" s="22"/>
      <c r="P37" s="21"/>
      <c r="Q37" s="21" t="s">
        <v>1825</v>
      </c>
      <c r="R37" s="21" t="s">
        <v>527</v>
      </c>
      <c r="T37" t="s">
        <v>551</v>
      </c>
      <c r="U37" t="s">
        <v>551</v>
      </c>
    </row>
    <row r="38" spans="1:25">
      <c r="A38" s="21" t="s">
        <v>263</v>
      </c>
      <c r="B38" s="21" t="s">
        <v>264</v>
      </c>
      <c r="C38" s="21"/>
      <c r="D38" s="21"/>
      <c r="E38" s="21" t="s">
        <v>161</v>
      </c>
      <c r="F38" s="21" t="s">
        <v>1826</v>
      </c>
      <c r="G38" s="21" t="s">
        <v>266</v>
      </c>
      <c r="H38" s="22" t="s">
        <v>39</v>
      </c>
      <c r="I38" s="22"/>
      <c r="J38" s="22"/>
      <c r="K38" s="22"/>
      <c r="L38" s="22"/>
      <c r="M38" s="22"/>
      <c r="N38" s="22"/>
      <c r="O38" s="23">
        <v>20000</v>
      </c>
      <c r="P38" s="21"/>
      <c r="Q38" s="21"/>
      <c r="R38" s="21" t="s">
        <v>527</v>
      </c>
      <c r="T38" t="s">
        <v>542</v>
      </c>
      <c r="U38" t="s">
        <v>544</v>
      </c>
      <c r="W38" t="s">
        <v>1820</v>
      </c>
    </row>
    <row r="39" spans="1:25">
      <c r="A39" s="21" t="s">
        <v>231</v>
      </c>
      <c r="B39" s="21" t="s">
        <v>223</v>
      </c>
      <c r="C39" s="21" t="s">
        <v>223</v>
      </c>
      <c r="D39" s="21" t="s">
        <v>224</v>
      </c>
      <c r="E39" s="21" t="s">
        <v>60</v>
      </c>
      <c r="F39" s="21" t="s">
        <v>225</v>
      </c>
      <c r="G39" s="21" t="s">
        <v>62</v>
      </c>
      <c r="H39" s="22" t="s">
        <v>78</v>
      </c>
      <c r="I39" s="22" t="s">
        <v>63</v>
      </c>
      <c r="J39" s="22" t="s">
        <v>226</v>
      </c>
      <c r="K39" s="22" t="s">
        <v>227</v>
      </c>
      <c r="L39" s="22" t="s">
        <v>227</v>
      </c>
      <c r="M39" s="22" t="s">
        <v>227</v>
      </c>
      <c r="N39" s="22" t="s">
        <v>227</v>
      </c>
      <c r="O39" s="23">
        <v>20000</v>
      </c>
      <c r="P39" s="24">
        <v>0.9</v>
      </c>
      <c r="Q39" s="21" t="s">
        <v>228</v>
      </c>
      <c r="R39" s="21" t="s">
        <v>788</v>
      </c>
      <c r="T39" t="s">
        <v>542</v>
      </c>
      <c r="U39" t="s">
        <v>1800</v>
      </c>
      <c r="V39" t="s">
        <v>1801</v>
      </c>
    </row>
    <row r="40" spans="1:25">
      <c r="A40" s="21" t="s">
        <v>140</v>
      </c>
      <c r="B40" s="21" t="s">
        <v>140</v>
      </c>
      <c r="C40" s="21" t="s">
        <v>77</v>
      </c>
      <c r="D40" s="21"/>
      <c r="E40" s="21" t="s">
        <v>55</v>
      </c>
      <c r="F40" s="21" t="s">
        <v>115</v>
      </c>
      <c r="G40" s="21"/>
      <c r="H40" s="22" t="s">
        <v>39</v>
      </c>
      <c r="I40" s="22" t="s">
        <v>77</v>
      </c>
      <c r="J40" s="22" t="s">
        <v>39</v>
      </c>
      <c r="K40" s="22" t="s">
        <v>44</v>
      </c>
      <c r="L40" s="22" t="s">
        <v>78</v>
      </c>
      <c r="M40" s="22" t="s">
        <v>141</v>
      </c>
      <c r="N40" s="22" t="s">
        <v>78</v>
      </c>
      <c r="O40" s="23">
        <v>20000</v>
      </c>
      <c r="P40" s="21"/>
      <c r="Q40" s="21"/>
      <c r="R40" s="21" t="s">
        <v>726</v>
      </c>
      <c r="T40" t="s">
        <v>542</v>
      </c>
      <c r="U40" t="s">
        <v>544</v>
      </c>
    </row>
    <row r="41" spans="1:25">
      <c r="A41" s="21" t="s">
        <v>433</v>
      </c>
      <c r="B41" s="21" t="s">
        <v>434</v>
      </c>
      <c r="C41" s="21"/>
      <c r="D41" s="21"/>
      <c r="E41" s="21" t="s">
        <v>161</v>
      </c>
      <c r="F41" s="21" t="s">
        <v>1827</v>
      </c>
      <c r="G41" s="55" t="s">
        <v>643</v>
      </c>
      <c r="H41" s="22" t="s">
        <v>39</v>
      </c>
      <c r="I41" s="22" t="s">
        <v>39</v>
      </c>
      <c r="J41" s="22" t="s">
        <v>39</v>
      </c>
      <c r="K41" s="22"/>
      <c r="L41" s="22"/>
      <c r="M41" s="22" t="s">
        <v>141</v>
      </c>
      <c r="N41" s="22"/>
      <c r="O41" s="23">
        <v>20000</v>
      </c>
      <c r="P41" s="21"/>
      <c r="Q41" s="21" t="s">
        <v>437</v>
      </c>
      <c r="R41" s="21" t="s">
        <v>527</v>
      </c>
      <c r="T41" t="s">
        <v>542</v>
      </c>
      <c r="U41" t="s">
        <v>544</v>
      </c>
      <c r="V41" t="s">
        <v>1828</v>
      </c>
      <c r="W41" t="s">
        <v>1820</v>
      </c>
    </row>
    <row r="42" spans="1:25" s="66" customFormat="1">
      <c r="A42" s="67" t="s">
        <v>298</v>
      </c>
      <c r="B42" s="67" t="s">
        <v>294</v>
      </c>
      <c r="C42" s="67" t="s">
        <v>92</v>
      </c>
      <c r="D42" s="67"/>
      <c r="E42" s="67" t="s">
        <v>295</v>
      </c>
      <c r="F42" s="67" t="s">
        <v>701</v>
      </c>
      <c r="G42" s="67" t="s">
        <v>299</v>
      </c>
      <c r="H42" s="68" t="s">
        <v>39</v>
      </c>
      <c r="I42" s="68" t="s">
        <v>39</v>
      </c>
      <c r="J42" s="68" t="s">
        <v>39</v>
      </c>
      <c r="K42" s="68" t="s">
        <v>78</v>
      </c>
      <c r="L42" s="68" t="s">
        <v>78</v>
      </c>
      <c r="M42" s="68"/>
      <c r="N42" s="68"/>
      <c r="O42" s="69">
        <v>20000</v>
      </c>
      <c r="P42" s="67"/>
      <c r="Q42" s="67"/>
      <c r="R42" s="67" t="s">
        <v>527</v>
      </c>
      <c r="S42" s="66" t="s">
        <v>545</v>
      </c>
      <c r="T42" s="66" t="s">
        <v>542</v>
      </c>
      <c r="U42" s="66" t="s">
        <v>544</v>
      </c>
      <c r="V42" s="66" t="s">
        <v>546</v>
      </c>
    </row>
    <row r="43" spans="1:25">
      <c r="A43" s="21" t="s">
        <v>495</v>
      </c>
      <c r="B43" s="21" t="s">
        <v>496</v>
      </c>
      <c r="C43" s="21" t="s">
        <v>92</v>
      </c>
      <c r="D43" s="21"/>
      <c r="E43" s="21" t="s">
        <v>161</v>
      </c>
      <c r="F43" s="21" t="s">
        <v>1826</v>
      </c>
      <c r="G43" s="21"/>
      <c r="H43" s="22" t="s">
        <v>39</v>
      </c>
      <c r="I43" s="22"/>
      <c r="J43" s="22"/>
      <c r="K43" s="22"/>
      <c r="L43" s="22"/>
      <c r="M43" s="22"/>
      <c r="N43" s="22"/>
      <c r="O43" s="23">
        <v>20000</v>
      </c>
      <c r="P43" s="21"/>
      <c r="Q43" s="21"/>
      <c r="R43" s="21" t="s">
        <v>527</v>
      </c>
      <c r="T43" t="s">
        <v>542</v>
      </c>
      <c r="U43" t="s">
        <v>544</v>
      </c>
      <c r="W43" t="s">
        <v>1820</v>
      </c>
    </row>
    <row r="44" spans="1:25">
      <c r="A44" s="30" t="s">
        <v>343</v>
      </c>
      <c r="B44" s="21" t="s">
        <v>344</v>
      </c>
      <c r="C44" s="21" t="s">
        <v>92</v>
      </c>
      <c r="D44" s="21"/>
      <c r="E44" s="21" t="s">
        <v>161</v>
      </c>
      <c r="F44" s="21" t="s">
        <v>1826</v>
      </c>
      <c r="G44" s="21" t="s">
        <v>346</v>
      </c>
      <c r="H44" s="22" t="s">
        <v>39</v>
      </c>
      <c r="I44" s="22"/>
      <c r="J44" s="22"/>
      <c r="K44" s="22"/>
      <c r="L44" s="22"/>
      <c r="M44" s="22"/>
      <c r="N44" s="22"/>
      <c r="O44" s="23">
        <v>20000</v>
      </c>
      <c r="P44" s="21"/>
      <c r="Q44" s="21" t="s">
        <v>347</v>
      </c>
      <c r="R44" s="21" t="s">
        <v>527</v>
      </c>
      <c r="T44" t="s">
        <v>542</v>
      </c>
      <c r="U44" t="s">
        <v>544</v>
      </c>
      <c r="W44" t="s">
        <v>1820</v>
      </c>
    </row>
    <row r="45" spans="1:25">
      <c r="A45" s="36" t="s">
        <v>286</v>
      </c>
      <c r="B45" s="52" t="s">
        <v>287</v>
      </c>
      <c r="C45" s="52" t="s">
        <v>287</v>
      </c>
      <c r="D45" s="31"/>
      <c r="E45" s="21" t="s">
        <v>71</v>
      </c>
      <c r="F45" s="21" t="s">
        <v>288</v>
      </c>
      <c r="G45" s="21"/>
      <c r="H45" s="22"/>
      <c r="I45" s="22"/>
      <c r="J45" s="22"/>
      <c r="K45" s="22"/>
      <c r="L45" s="22"/>
      <c r="M45" s="22"/>
      <c r="N45" s="22"/>
      <c r="O45" s="23">
        <v>20000</v>
      </c>
      <c r="P45" s="21"/>
      <c r="Q45" s="21"/>
      <c r="R45" s="21" t="s">
        <v>792</v>
      </c>
      <c r="T45" t="s">
        <v>542</v>
      </c>
      <c r="U45" t="s">
        <v>544</v>
      </c>
    </row>
    <row r="46" spans="1:25" s="66" customFormat="1">
      <c r="A46" s="67" t="s">
        <v>210</v>
      </c>
      <c r="B46" s="67" t="s">
        <v>208</v>
      </c>
      <c r="C46" s="67" t="s">
        <v>92</v>
      </c>
      <c r="D46" s="67"/>
      <c r="E46" s="67" t="s">
        <v>120</v>
      </c>
      <c r="F46" s="67" t="s">
        <v>204</v>
      </c>
      <c r="G46" s="70" t="s">
        <v>211</v>
      </c>
      <c r="H46" s="68" t="s">
        <v>206</v>
      </c>
      <c r="I46" s="68" t="s">
        <v>39</v>
      </c>
      <c r="J46" s="68"/>
      <c r="K46" s="68"/>
      <c r="L46" s="68"/>
      <c r="M46" s="68"/>
      <c r="N46" s="68"/>
      <c r="O46" s="69">
        <v>20000</v>
      </c>
      <c r="P46" s="67"/>
      <c r="Q46" s="67"/>
      <c r="R46" s="67" t="s">
        <v>527</v>
      </c>
      <c r="S46" s="66" t="s">
        <v>545</v>
      </c>
      <c r="T46" s="66" t="s">
        <v>542</v>
      </c>
      <c r="U46" s="66" t="s">
        <v>544</v>
      </c>
      <c r="V46" s="66" t="s">
        <v>546</v>
      </c>
    </row>
    <row r="47" spans="1:25">
      <c r="A47" s="42" t="s">
        <v>157</v>
      </c>
      <c r="B47" s="21" t="s">
        <v>157</v>
      </c>
      <c r="C47" s="21" t="s">
        <v>77</v>
      </c>
      <c r="D47" s="21"/>
      <c r="E47" s="21" t="s">
        <v>55</v>
      </c>
      <c r="F47" s="21" t="s">
        <v>115</v>
      </c>
      <c r="G47" s="21"/>
      <c r="H47" s="22" t="s">
        <v>39</v>
      </c>
      <c r="I47" s="22" t="s">
        <v>77</v>
      </c>
      <c r="J47" s="22" t="s">
        <v>39</v>
      </c>
      <c r="K47" s="22" t="s">
        <v>44</v>
      </c>
      <c r="L47" s="22" t="s">
        <v>78</v>
      </c>
      <c r="M47" s="22" t="s">
        <v>141</v>
      </c>
      <c r="N47" s="22" t="s">
        <v>78</v>
      </c>
      <c r="O47" s="23">
        <v>20000</v>
      </c>
      <c r="P47" s="21"/>
      <c r="Q47" s="21"/>
      <c r="R47" s="21" t="s">
        <v>726</v>
      </c>
      <c r="T47" t="s">
        <v>542</v>
      </c>
      <c r="U47" t="s">
        <v>544</v>
      </c>
    </row>
    <row r="48" spans="1:25">
      <c r="A48" s="21" t="s">
        <v>168</v>
      </c>
      <c r="B48" s="21" t="s">
        <v>169</v>
      </c>
      <c r="C48" s="21" t="s">
        <v>170</v>
      </c>
      <c r="D48" s="21"/>
      <c r="E48" s="21" t="s">
        <v>50</v>
      </c>
      <c r="F48" s="21" t="s">
        <v>51</v>
      </c>
      <c r="G48" s="21"/>
      <c r="H48" s="22"/>
      <c r="I48" s="22"/>
      <c r="J48" s="22" t="s">
        <v>39</v>
      </c>
      <c r="K48" s="22"/>
      <c r="L48" s="22"/>
      <c r="M48" s="22" t="s">
        <v>39</v>
      </c>
      <c r="N48" s="22"/>
      <c r="O48" s="23">
        <v>20000</v>
      </c>
      <c r="P48" s="24">
        <v>0.5</v>
      </c>
      <c r="Q48" s="21" t="s">
        <v>52</v>
      </c>
      <c r="R48" s="21" t="s">
        <v>771</v>
      </c>
      <c r="T48" t="s">
        <v>542</v>
      </c>
      <c r="U48" t="s">
        <v>544</v>
      </c>
    </row>
    <row r="49" spans="1:23" s="66" customFormat="1">
      <c r="A49" s="71" t="s">
        <v>202</v>
      </c>
      <c r="B49" s="71" t="s">
        <v>203</v>
      </c>
      <c r="C49" s="71" t="s">
        <v>92</v>
      </c>
      <c r="D49" s="71"/>
      <c r="E49" s="71" t="s">
        <v>120</v>
      </c>
      <c r="F49" s="71" t="s">
        <v>204</v>
      </c>
      <c r="G49" s="72" t="s">
        <v>205</v>
      </c>
      <c r="H49" s="68" t="s">
        <v>206</v>
      </c>
      <c r="I49" s="68" t="s">
        <v>39</v>
      </c>
      <c r="J49" s="68"/>
      <c r="K49" s="68"/>
      <c r="L49" s="68"/>
      <c r="M49" s="68"/>
      <c r="N49" s="68"/>
      <c r="O49" s="68"/>
      <c r="P49" s="67"/>
      <c r="Q49" s="67"/>
      <c r="R49" s="67"/>
      <c r="U49" s="66" t="s">
        <v>44</v>
      </c>
    </row>
    <row r="50" spans="1:23" s="64" customFormat="1" ht="45">
      <c r="A50" s="77" t="s">
        <v>212</v>
      </c>
      <c r="B50" s="77" t="s">
        <v>208</v>
      </c>
      <c r="C50" s="77" t="s">
        <v>92</v>
      </c>
      <c r="D50" s="77"/>
      <c r="E50" s="77" t="s">
        <v>120</v>
      </c>
      <c r="F50" s="77" t="s">
        <v>204</v>
      </c>
      <c r="G50" s="78" t="s">
        <v>213</v>
      </c>
      <c r="H50" s="79" t="s">
        <v>214</v>
      </c>
      <c r="I50" s="79" t="s">
        <v>39</v>
      </c>
      <c r="J50" s="79"/>
      <c r="K50" s="79"/>
      <c r="L50" s="79"/>
      <c r="M50" s="79"/>
      <c r="N50" s="79"/>
      <c r="O50" s="80">
        <v>20000</v>
      </c>
      <c r="P50" s="77"/>
      <c r="Q50" s="77"/>
      <c r="R50" s="77" t="s">
        <v>527</v>
      </c>
      <c r="S50" s="64" t="s">
        <v>545</v>
      </c>
      <c r="T50" s="64" t="s">
        <v>542</v>
      </c>
      <c r="U50" s="64" t="s">
        <v>544</v>
      </c>
      <c r="V50" s="64" t="s">
        <v>546</v>
      </c>
    </row>
    <row r="51" spans="1:23">
      <c r="A51" s="21" t="s">
        <v>232</v>
      </c>
      <c r="B51" s="21" t="s">
        <v>223</v>
      </c>
      <c r="C51" s="21" t="s">
        <v>223</v>
      </c>
      <c r="D51" s="21" t="s">
        <v>224</v>
      </c>
      <c r="E51" s="21" t="s">
        <v>60</v>
      </c>
      <c r="F51" s="21" t="s">
        <v>225</v>
      </c>
      <c r="G51" s="21" t="s">
        <v>62</v>
      </c>
      <c r="H51" s="22" t="s">
        <v>78</v>
      </c>
      <c r="I51" s="22" t="s">
        <v>63</v>
      </c>
      <c r="J51" s="22" t="s">
        <v>226</v>
      </c>
      <c r="K51" s="22" t="s">
        <v>227</v>
      </c>
      <c r="L51" s="22" t="s">
        <v>227</v>
      </c>
      <c r="M51" s="22" t="s">
        <v>227</v>
      </c>
      <c r="N51" s="22" t="s">
        <v>227</v>
      </c>
      <c r="O51" s="23">
        <v>20000</v>
      </c>
      <c r="P51" s="24">
        <v>0.9</v>
      </c>
      <c r="Q51" s="21" t="s">
        <v>228</v>
      </c>
      <c r="R51" s="21" t="s">
        <v>788</v>
      </c>
      <c r="T51" t="s">
        <v>542</v>
      </c>
      <c r="U51" t="s">
        <v>1800</v>
      </c>
      <c r="V51" t="s">
        <v>1801</v>
      </c>
    </row>
    <row r="52" spans="1:23">
      <c r="A52" s="21" t="s">
        <v>171</v>
      </c>
      <c r="B52" s="21" t="s">
        <v>171</v>
      </c>
      <c r="C52" s="21" t="s">
        <v>171</v>
      </c>
      <c r="D52" s="21" t="s">
        <v>172</v>
      </c>
      <c r="E52" s="21" t="s">
        <v>71</v>
      </c>
      <c r="F52" s="21" t="s">
        <v>173</v>
      </c>
      <c r="G52" s="21"/>
      <c r="H52" s="22"/>
      <c r="I52" s="22"/>
      <c r="J52" s="22"/>
      <c r="K52" s="22"/>
      <c r="L52" s="22"/>
      <c r="M52" s="22"/>
      <c r="N52" s="22"/>
      <c r="O52" s="22"/>
      <c r="P52" s="21"/>
      <c r="Q52" s="21"/>
      <c r="R52" s="21" t="s">
        <v>792</v>
      </c>
      <c r="T52" t="s">
        <v>44</v>
      </c>
      <c r="U52" t="s">
        <v>44</v>
      </c>
      <c r="V52" s="5" t="s">
        <v>172</v>
      </c>
    </row>
    <row r="53" spans="1:23">
      <c r="A53" s="21" t="s">
        <v>174</v>
      </c>
      <c r="B53" s="34" t="s">
        <v>174</v>
      </c>
      <c r="C53" s="34" t="s">
        <v>174</v>
      </c>
      <c r="D53" s="21" t="s">
        <v>172</v>
      </c>
      <c r="E53" s="21" t="s">
        <v>71</v>
      </c>
      <c r="F53" s="21" t="s">
        <v>173</v>
      </c>
      <c r="G53" s="21"/>
      <c r="H53" s="22"/>
      <c r="I53" s="22"/>
      <c r="J53" s="22"/>
      <c r="K53" s="22"/>
      <c r="L53" s="22"/>
      <c r="M53" s="22"/>
      <c r="N53" s="22"/>
      <c r="O53" s="22"/>
      <c r="P53" s="21"/>
      <c r="Q53" s="21"/>
      <c r="R53" s="21" t="s">
        <v>792</v>
      </c>
      <c r="T53" t="s">
        <v>44</v>
      </c>
      <c r="U53" t="s">
        <v>44</v>
      </c>
      <c r="V53" s="5" t="s">
        <v>172</v>
      </c>
    </row>
    <row r="54" spans="1:23">
      <c r="A54" s="21" t="s">
        <v>191</v>
      </c>
      <c r="B54" s="21" t="s">
        <v>191</v>
      </c>
      <c r="C54" s="21" t="s">
        <v>191</v>
      </c>
      <c r="D54" s="21"/>
      <c r="E54" s="21" t="s">
        <v>50</v>
      </c>
      <c r="F54" s="21" t="s">
        <v>51</v>
      </c>
      <c r="G54" s="21"/>
      <c r="H54" s="22"/>
      <c r="I54" s="22" t="s">
        <v>39</v>
      </c>
      <c r="J54" s="22" t="s">
        <v>39</v>
      </c>
      <c r="K54" s="22"/>
      <c r="L54" s="22" t="s">
        <v>39</v>
      </c>
      <c r="M54" s="22" t="s">
        <v>39</v>
      </c>
      <c r="N54" s="22"/>
      <c r="O54" s="23">
        <v>20000</v>
      </c>
      <c r="P54" s="24">
        <v>0.5</v>
      </c>
      <c r="Q54" s="21" t="s">
        <v>97</v>
      </c>
      <c r="R54" s="21" t="s">
        <v>771</v>
      </c>
      <c r="T54" t="s">
        <v>542</v>
      </c>
      <c r="U54" t="s">
        <v>544</v>
      </c>
    </row>
    <row r="55" spans="1:23">
      <c r="A55" s="21" t="s">
        <v>150</v>
      </c>
      <c r="B55" s="21" t="s">
        <v>151</v>
      </c>
      <c r="C55" s="21" t="s">
        <v>92</v>
      </c>
      <c r="D55" s="21"/>
      <c r="E55" s="21" t="s">
        <v>152</v>
      </c>
      <c r="F55" s="21" t="s">
        <v>666</v>
      </c>
      <c r="G55" s="21" t="s">
        <v>154</v>
      </c>
      <c r="H55" s="22" t="s">
        <v>39</v>
      </c>
      <c r="I55" s="22" t="s">
        <v>155</v>
      </c>
      <c r="J55" s="22" t="s">
        <v>40</v>
      </c>
      <c r="K55" s="22"/>
      <c r="L55" s="22"/>
      <c r="M55" s="22"/>
      <c r="N55" s="22"/>
      <c r="O55" s="23">
        <v>50000</v>
      </c>
      <c r="P55" s="21"/>
      <c r="Q55" s="21" t="s">
        <v>156</v>
      </c>
      <c r="R55" s="21" t="s">
        <v>527</v>
      </c>
      <c r="T55" t="s">
        <v>542</v>
      </c>
      <c r="U55" t="s">
        <v>543</v>
      </c>
      <c r="W55" t="s">
        <v>1820</v>
      </c>
    </row>
    <row r="56" spans="1:23">
      <c r="A56" s="21" t="s">
        <v>192</v>
      </c>
      <c r="B56" s="21" t="s">
        <v>193</v>
      </c>
      <c r="C56" s="21" t="s">
        <v>193</v>
      </c>
      <c r="D56" s="21"/>
      <c r="E56" s="21" t="s">
        <v>120</v>
      </c>
      <c r="F56" s="21" t="s">
        <v>194</v>
      </c>
      <c r="G56" s="21" t="s">
        <v>77</v>
      </c>
      <c r="H56" s="22" t="s">
        <v>78</v>
      </c>
      <c r="I56" s="22"/>
      <c r="J56" s="22"/>
      <c r="K56" s="22"/>
      <c r="L56" s="22"/>
      <c r="M56" s="22"/>
      <c r="N56" s="22"/>
      <c r="O56" s="23">
        <v>20000</v>
      </c>
      <c r="P56" s="21"/>
      <c r="Q56" s="21"/>
      <c r="R56" s="21"/>
      <c r="T56" t="s">
        <v>542</v>
      </c>
      <c r="U56" t="s">
        <v>544</v>
      </c>
      <c r="W56" t="s">
        <v>1820</v>
      </c>
    </row>
    <row r="57" spans="1:23">
      <c r="A57" s="21" t="s">
        <v>195</v>
      </c>
      <c r="B57" s="21" t="s">
        <v>195</v>
      </c>
      <c r="C57" s="21" t="s">
        <v>195</v>
      </c>
      <c r="D57" s="21"/>
      <c r="E57" s="21" t="s">
        <v>50</v>
      </c>
      <c r="F57" s="21" t="s">
        <v>51</v>
      </c>
      <c r="G57" s="21"/>
      <c r="H57" s="22"/>
      <c r="I57" s="22"/>
      <c r="J57" s="22" t="s">
        <v>39</v>
      </c>
      <c r="K57" s="22"/>
      <c r="L57" s="22"/>
      <c r="M57" s="22" t="s">
        <v>39</v>
      </c>
      <c r="N57" s="22"/>
      <c r="O57" s="23">
        <v>20000</v>
      </c>
      <c r="P57" s="24">
        <v>0.5</v>
      </c>
      <c r="Q57" s="21" t="s">
        <v>196</v>
      </c>
      <c r="R57" s="21" t="s">
        <v>771</v>
      </c>
      <c r="T57" t="s">
        <v>542</v>
      </c>
      <c r="U57" t="s">
        <v>544</v>
      </c>
    </row>
    <row r="58" spans="1:23">
      <c r="A58" s="21" t="s">
        <v>486</v>
      </c>
      <c r="B58" s="21" t="s">
        <v>487</v>
      </c>
      <c r="C58" s="21" t="s">
        <v>92</v>
      </c>
      <c r="D58" s="21"/>
      <c r="E58" s="21" t="s">
        <v>152</v>
      </c>
      <c r="F58" s="21" t="s">
        <v>650</v>
      </c>
      <c r="G58" s="21" t="s">
        <v>488</v>
      </c>
      <c r="H58" s="22" t="s">
        <v>39</v>
      </c>
      <c r="I58" s="22"/>
      <c r="J58" s="22"/>
      <c r="K58" s="22"/>
      <c r="L58" s="22"/>
      <c r="M58" s="22"/>
      <c r="N58" s="22"/>
      <c r="O58" s="23">
        <v>20000</v>
      </c>
      <c r="P58" s="21"/>
      <c r="Q58" s="21" t="s">
        <v>489</v>
      </c>
      <c r="R58" s="21" t="s">
        <v>527</v>
      </c>
      <c r="T58" t="s">
        <v>542</v>
      </c>
      <c r="U58" t="s">
        <v>544</v>
      </c>
    </row>
    <row r="59" spans="1:23">
      <c r="A59" s="36" t="s">
        <v>1829</v>
      </c>
      <c r="B59" s="36" t="s">
        <v>147</v>
      </c>
      <c r="C59" s="36" t="s">
        <v>92</v>
      </c>
      <c r="D59" s="36"/>
      <c r="E59" s="36" t="s">
        <v>36</v>
      </c>
      <c r="F59" s="36" t="s">
        <v>1830</v>
      </c>
      <c r="G59" s="36" t="s">
        <v>149</v>
      </c>
      <c r="H59" s="41" t="s">
        <v>39</v>
      </c>
      <c r="I59" s="41"/>
      <c r="J59" s="41"/>
      <c r="K59" s="41"/>
      <c r="L59" s="41"/>
      <c r="M59" s="41"/>
      <c r="N59" s="41" t="s">
        <v>40</v>
      </c>
      <c r="O59" s="23">
        <v>20000</v>
      </c>
      <c r="P59" s="21"/>
      <c r="Q59" s="36"/>
      <c r="R59" s="36" t="s">
        <v>527</v>
      </c>
      <c r="S59" s="50"/>
      <c r="T59" t="s">
        <v>542</v>
      </c>
      <c r="U59" t="s">
        <v>544</v>
      </c>
      <c r="V59" s="50"/>
      <c r="W59" t="s">
        <v>1831</v>
      </c>
    </row>
    <row r="60" spans="1:23" s="66" customFormat="1">
      <c r="A60" s="67" t="s">
        <v>300</v>
      </c>
      <c r="B60" s="67" t="s">
        <v>294</v>
      </c>
      <c r="C60" s="67" t="s">
        <v>92</v>
      </c>
      <c r="D60" s="67"/>
      <c r="E60" s="67" t="s">
        <v>295</v>
      </c>
      <c r="F60" s="67" t="s">
        <v>701</v>
      </c>
      <c r="G60" s="67" t="s">
        <v>299</v>
      </c>
      <c r="H60" s="68" t="s">
        <v>39</v>
      </c>
      <c r="I60" s="68" t="s">
        <v>39</v>
      </c>
      <c r="J60" s="68" t="s">
        <v>39</v>
      </c>
      <c r="K60" s="68" t="s">
        <v>78</v>
      </c>
      <c r="L60" s="68" t="s">
        <v>78</v>
      </c>
      <c r="M60" s="68"/>
      <c r="N60" s="68"/>
      <c r="O60" s="69">
        <v>20000</v>
      </c>
      <c r="P60" s="67"/>
      <c r="Q60" s="67"/>
      <c r="R60" s="67" t="s">
        <v>527</v>
      </c>
      <c r="S60" s="66" t="s">
        <v>545</v>
      </c>
      <c r="T60" s="66" t="s">
        <v>542</v>
      </c>
      <c r="U60" s="66" t="s">
        <v>544</v>
      </c>
      <c r="V60" s="66" t="s">
        <v>546</v>
      </c>
    </row>
    <row r="61" spans="1:23" s="66" customFormat="1">
      <c r="A61" s="67" t="s">
        <v>215</v>
      </c>
      <c r="B61" s="67" t="s">
        <v>208</v>
      </c>
      <c r="C61" s="67" t="s">
        <v>92</v>
      </c>
      <c r="D61" s="67"/>
      <c r="E61" s="67" t="s">
        <v>120</v>
      </c>
      <c r="F61" s="67" t="s">
        <v>204</v>
      </c>
      <c r="G61" s="70" t="s">
        <v>216</v>
      </c>
      <c r="H61" s="68" t="s">
        <v>206</v>
      </c>
      <c r="I61" s="68" t="s">
        <v>39</v>
      </c>
      <c r="J61" s="68"/>
      <c r="K61" s="68"/>
      <c r="L61" s="68"/>
      <c r="M61" s="68"/>
      <c r="N61" s="68"/>
      <c r="O61" s="69">
        <v>20000</v>
      </c>
      <c r="P61" s="67"/>
      <c r="Q61" s="67"/>
      <c r="R61" s="67" t="s">
        <v>527</v>
      </c>
      <c r="S61" s="66" t="s">
        <v>545</v>
      </c>
      <c r="T61" s="66" t="s">
        <v>542</v>
      </c>
      <c r="U61" s="66" t="s">
        <v>544</v>
      </c>
      <c r="V61" s="66" t="s">
        <v>546</v>
      </c>
    </row>
    <row r="62" spans="1:23" s="66" customFormat="1">
      <c r="A62" s="67" t="s">
        <v>301</v>
      </c>
      <c r="B62" s="67" t="s">
        <v>294</v>
      </c>
      <c r="C62" s="67" t="s">
        <v>92</v>
      </c>
      <c r="D62" s="67"/>
      <c r="E62" s="67" t="s">
        <v>295</v>
      </c>
      <c r="F62" s="67" t="s">
        <v>701</v>
      </c>
      <c r="G62" s="67" t="s">
        <v>299</v>
      </c>
      <c r="H62" s="68" t="s">
        <v>39</v>
      </c>
      <c r="I62" s="68" t="s">
        <v>39</v>
      </c>
      <c r="J62" s="68" t="s">
        <v>39</v>
      </c>
      <c r="K62" s="68" t="s">
        <v>78</v>
      </c>
      <c r="L62" s="68" t="s">
        <v>78</v>
      </c>
      <c r="M62" s="68"/>
      <c r="N62" s="68"/>
      <c r="O62" s="69">
        <v>20000</v>
      </c>
      <c r="P62" s="67"/>
      <c r="Q62" s="67"/>
      <c r="R62" s="67" t="s">
        <v>527</v>
      </c>
      <c r="S62" s="66" t="s">
        <v>545</v>
      </c>
      <c r="T62" s="66" t="s">
        <v>542</v>
      </c>
      <c r="U62" s="66" t="s">
        <v>544</v>
      </c>
      <c r="V62" s="66" t="s">
        <v>546</v>
      </c>
    </row>
    <row r="63" spans="1:23">
      <c r="A63" s="21" t="s">
        <v>127</v>
      </c>
      <c r="B63" s="31" t="s">
        <v>128</v>
      </c>
      <c r="C63" s="31" t="s">
        <v>128</v>
      </c>
      <c r="D63" s="31"/>
      <c r="E63" s="21" t="s">
        <v>71</v>
      </c>
      <c r="F63" s="21" t="s">
        <v>129</v>
      </c>
      <c r="G63" s="21"/>
      <c r="H63" s="22"/>
      <c r="I63" s="22"/>
      <c r="J63" s="22"/>
      <c r="K63" s="22"/>
      <c r="L63" s="22"/>
      <c r="M63" s="22"/>
      <c r="N63" s="22"/>
      <c r="O63" s="23">
        <v>20000</v>
      </c>
      <c r="P63" s="21"/>
      <c r="Q63" s="21"/>
      <c r="R63" s="21" t="s">
        <v>792</v>
      </c>
      <c r="T63" t="s">
        <v>542</v>
      </c>
      <c r="U63" t="s">
        <v>544</v>
      </c>
    </row>
    <row r="64" spans="1:23" s="66" customFormat="1">
      <c r="A64" s="67" t="s">
        <v>302</v>
      </c>
      <c r="B64" s="67" t="s">
        <v>294</v>
      </c>
      <c r="C64" s="67" t="s">
        <v>92</v>
      </c>
      <c r="D64" s="67"/>
      <c r="E64" s="67" t="s">
        <v>295</v>
      </c>
      <c r="F64" s="67" t="s">
        <v>701</v>
      </c>
      <c r="G64" s="67" t="s">
        <v>299</v>
      </c>
      <c r="H64" s="68" t="s">
        <v>39</v>
      </c>
      <c r="I64" s="68" t="s">
        <v>39</v>
      </c>
      <c r="J64" s="68" t="s">
        <v>39</v>
      </c>
      <c r="K64" s="68" t="s">
        <v>78</v>
      </c>
      <c r="L64" s="68" t="s">
        <v>78</v>
      </c>
      <c r="M64" s="68"/>
      <c r="N64" s="68"/>
      <c r="O64" s="69">
        <v>20000</v>
      </c>
      <c r="P64" s="67"/>
      <c r="Q64" s="67"/>
      <c r="R64" s="67" t="s">
        <v>527</v>
      </c>
      <c r="S64" s="66" t="s">
        <v>545</v>
      </c>
      <c r="T64" s="66" t="s">
        <v>542</v>
      </c>
      <c r="U64" s="66" t="s">
        <v>544</v>
      </c>
      <c r="V64" s="66" t="s">
        <v>546</v>
      </c>
    </row>
    <row r="65" spans="1:23" s="66" customFormat="1">
      <c r="A65" s="67" t="s">
        <v>217</v>
      </c>
      <c r="B65" s="67" t="s">
        <v>208</v>
      </c>
      <c r="C65" s="67" t="s">
        <v>92</v>
      </c>
      <c r="D65" s="67"/>
      <c r="E65" s="67" t="s">
        <v>120</v>
      </c>
      <c r="F65" s="67" t="s">
        <v>204</v>
      </c>
      <c r="G65" s="70" t="s">
        <v>218</v>
      </c>
      <c r="H65" s="68" t="s">
        <v>206</v>
      </c>
      <c r="I65" s="68" t="s">
        <v>39</v>
      </c>
      <c r="J65" s="68"/>
      <c r="K65" s="68"/>
      <c r="L65" s="68"/>
      <c r="M65" s="68"/>
      <c r="N65" s="68"/>
      <c r="O65" s="69">
        <v>20000</v>
      </c>
      <c r="P65" s="67"/>
      <c r="Q65" s="67"/>
      <c r="R65" s="67" t="s">
        <v>527</v>
      </c>
      <c r="S65" s="66" t="s">
        <v>545</v>
      </c>
      <c r="T65" s="66" t="s">
        <v>542</v>
      </c>
      <c r="U65" s="66" t="s">
        <v>544</v>
      </c>
      <c r="V65" s="66" t="s">
        <v>546</v>
      </c>
    </row>
    <row r="66" spans="1:23">
      <c r="A66" s="21" t="s">
        <v>260</v>
      </c>
      <c r="B66" s="34" t="s">
        <v>261</v>
      </c>
      <c r="C66" s="34" t="s">
        <v>261</v>
      </c>
      <c r="D66" s="34"/>
      <c r="E66" s="21" t="s">
        <v>71</v>
      </c>
      <c r="F66" s="30" t="s">
        <v>262</v>
      </c>
      <c r="G66" s="30"/>
      <c r="H66" s="53"/>
      <c r="I66" s="22"/>
      <c r="J66" s="22"/>
      <c r="K66" s="22"/>
      <c r="L66" s="22"/>
      <c r="M66" s="22"/>
      <c r="N66" s="22"/>
      <c r="O66" s="23">
        <v>50000</v>
      </c>
      <c r="P66" s="21"/>
      <c r="Q66" s="21"/>
      <c r="R66" s="21" t="s">
        <v>792</v>
      </c>
      <c r="T66" t="s">
        <v>542</v>
      </c>
      <c r="U66" t="s">
        <v>543</v>
      </c>
    </row>
    <row r="67" spans="1:23">
      <c r="A67" s="29" t="s">
        <v>42</v>
      </c>
      <c r="B67" s="21" t="s">
        <v>43</v>
      </c>
      <c r="C67" s="21" t="s">
        <v>44</v>
      </c>
      <c r="D67" s="21"/>
      <c r="E67" s="21" t="s">
        <v>36</v>
      </c>
      <c r="F67" s="21" t="s">
        <v>1832</v>
      </c>
      <c r="G67" s="21" t="s">
        <v>46</v>
      </c>
      <c r="H67" s="22" t="s">
        <v>39</v>
      </c>
      <c r="I67" s="22"/>
      <c r="J67" s="22"/>
      <c r="K67" s="22"/>
      <c r="L67" s="22"/>
      <c r="M67" s="22"/>
      <c r="N67" s="22" t="s">
        <v>40</v>
      </c>
      <c r="O67" s="22"/>
      <c r="P67" s="21"/>
      <c r="Q67" s="21" t="s">
        <v>47</v>
      </c>
      <c r="R67" s="21" t="s">
        <v>527</v>
      </c>
      <c r="T67" t="s">
        <v>44</v>
      </c>
      <c r="U67" t="s">
        <v>44</v>
      </c>
      <c r="V67" t="s">
        <v>1833</v>
      </c>
      <c r="W67" t="s">
        <v>1820</v>
      </c>
    </row>
    <row r="68" spans="1:23">
      <c r="A68" s="21" t="s">
        <v>267</v>
      </c>
      <c r="B68" s="21" t="s">
        <v>268</v>
      </c>
      <c r="C68" s="21" t="s">
        <v>268</v>
      </c>
      <c r="D68" s="21"/>
      <c r="E68" s="21" t="s">
        <v>120</v>
      </c>
      <c r="F68" s="21" t="s">
        <v>1834</v>
      </c>
      <c r="G68" s="28" t="s">
        <v>270</v>
      </c>
      <c r="H68" s="22" t="s">
        <v>39</v>
      </c>
      <c r="I68" s="22"/>
      <c r="J68" s="22"/>
      <c r="K68" s="22"/>
      <c r="L68" s="22"/>
      <c r="M68" s="22"/>
      <c r="N68" s="22"/>
      <c r="O68" s="23">
        <v>50000</v>
      </c>
      <c r="P68" s="21"/>
      <c r="Q68" s="21"/>
      <c r="R68" s="21" t="s">
        <v>527</v>
      </c>
      <c r="T68" t="s">
        <v>542</v>
      </c>
      <c r="U68" t="s">
        <v>543</v>
      </c>
      <c r="W68" t="s">
        <v>40</v>
      </c>
    </row>
    <row r="69" spans="1:23">
      <c r="A69" s="21" t="s">
        <v>255</v>
      </c>
      <c r="B69" s="21" t="s">
        <v>255</v>
      </c>
      <c r="C69" s="21" t="s">
        <v>255</v>
      </c>
      <c r="D69" s="21"/>
      <c r="E69" s="21" t="s">
        <v>50</v>
      </c>
      <c r="F69" s="21" t="s">
        <v>51</v>
      </c>
      <c r="G69" s="21"/>
      <c r="H69" s="22"/>
      <c r="I69" s="22"/>
      <c r="J69" s="22" t="s">
        <v>39</v>
      </c>
      <c r="K69" s="22"/>
      <c r="L69" s="22"/>
      <c r="M69" s="22" t="s">
        <v>39</v>
      </c>
      <c r="N69" s="22"/>
      <c r="O69" s="23">
        <v>20000</v>
      </c>
      <c r="P69" s="24">
        <v>0.5</v>
      </c>
      <c r="Q69" s="21" t="s">
        <v>256</v>
      </c>
      <c r="R69" s="21" t="s">
        <v>771</v>
      </c>
      <c r="T69" t="s">
        <v>542</v>
      </c>
      <c r="U69" t="s">
        <v>544</v>
      </c>
    </row>
    <row r="70" spans="1:23">
      <c r="A70" s="21" t="s">
        <v>233</v>
      </c>
      <c r="B70" s="21" t="s">
        <v>223</v>
      </c>
      <c r="C70" s="21" t="s">
        <v>223</v>
      </c>
      <c r="D70" s="21" t="s">
        <v>224</v>
      </c>
      <c r="E70" s="21" t="s">
        <v>60</v>
      </c>
      <c r="F70" s="21" t="s">
        <v>225</v>
      </c>
      <c r="G70" s="21" t="s">
        <v>62</v>
      </c>
      <c r="H70" s="22" t="s">
        <v>78</v>
      </c>
      <c r="I70" s="22" t="s">
        <v>63</v>
      </c>
      <c r="J70" s="22" t="s">
        <v>226</v>
      </c>
      <c r="K70" s="22" t="s">
        <v>227</v>
      </c>
      <c r="L70" s="22" t="s">
        <v>227</v>
      </c>
      <c r="M70" s="22" t="s">
        <v>227</v>
      </c>
      <c r="N70" s="22" t="s">
        <v>227</v>
      </c>
      <c r="O70" s="23">
        <v>20000</v>
      </c>
      <c r="P70" s="24">
        <v>0.9</v>
      </c>
      <c r="Q70" s="21" t="s">
        <v>228</v>
      </c>
      <c r="R70" s="21" t="s">
        <v>788</v>
      </c>
      <c r="T70" t="s">
        <v>542</v>
      </c>
      <c r="U70" t="s">
        <v>1800</v>
      </c>
      <c r="V70" t="s">
        <v>1801</v>
      </c>
    </row>
    <row r="71" spans="1:23">
      <c r="A71" s="21" t="s">
        <v>80</v>
      </c>
      <c r="B71" s="31" t="s">
        <v>291</v>
      </c>
      <c r="C71" s="31" t="s">
        <v>291</v>
      </c>
      <c r="D71" s="31"/>
      <c r="E71" s="21" t="s">
        <v>71</v>
      </c>
      <c r="F71" s="21" t="s">
        <v>292</v>
      </c>
      <c r="G71" s="21"/>
      <c r="H71" s="22"/>
      <c r="I71" s="22"/>
      <c r="J71" s="22"/>
      <c r="K71" s="22"/>
      <c r="L71" s="22"/>
      <c r="M71" s="22"/>
      <c r="N71" s="22"/>
      <c r="O71" s="22"/>
      <c r="P71" s="21"/>
      <c r="Q71" s="21"/>
      <c r="R71" s="21" t="s">
        <v>792</v>
      </c>
      <c r="T71" t="s">
        <v>542</v>
      </c>
      <c r="U71" t="s">
        <v>44</v>
      </c>
      <c r="V71" t="s">
        <v>1835</v>
      </c>
    </row>
    <row r="72" spans="1:23">
      <c r="A72" s="21" t="s">
        <v>80</v>
      </c>
      <c r="B72" s="31" t="s">
        <v>368</v>
      </c>
      <c r="C72" s="31" t="s">
        <v>368</v>
      </c>
      <c r="D72" s="31"/>
      <c r="E72" s="21" t="s">
        <v>71</v>
      </c>
      <c r="F72" s="21" t="s">
        <v>292</v>
      </c>
      <c r="G72" s="21"/>
      <c r="H72" s="22"/>
      <c r="I72" s="22"/>
      <c r="J72" s="22"/>
      <c r="K72" s="22"/>
      <c r="L72" s="22"/>
      <c r="M72" s="22"/>
      <c r="N72" s="22"/>
      <c r="O72" s="22"/>
      <c r="P72" s="21"/>
      <c r="Q72" s="21"/>
      <c r="R72" s="21" t="s">
        <v>792</v>
      </c>
      <c r="T72" t="s">
        <v>542</v>
      </c>
      <c r="U72" t="s">
        <v>44</v>
      </c>
      <c r="V72" t="s">
        <v>1835</v>
      </c>
    </row>
    <row r="73" spans="1:23">
      <c r="A73" s="21" t="s">
        <v>80</v>
      </c>
      <c r="B73" s="31" t="s">
        <v>81</v>
      </c>
      <c r="C73" s="31" t="s">
        <v>81</v>
      </c>
      <c r="D73" s="31"/>
      <c r="E73" s="21" t="s">
        <v>71</v>
      </c>
      <c r="F73" s="21" t="s">
        <v>82</v>
      </c>
      <c r="G73" s="21"/>
      <c r="H73" s="22"/>
      <c r="I73" s="22"/>
      <c r="J73" s="22"/>
      <c r="K73" s="22"/>
      <c r="L73" s="22"/>
      <c r="M73" s="22"/>
      <c r="N73" s="22"/>
      <c r="O73" s="22"/>
      <c r="P73" s="21"/>
      <c r="Q73" s="21"/>
      <c r="R73" s="21" t="s">
        <v>792</v>
      </c>
      <c r="T73" t="s">
        <v>542</v>
      </c>
      <c r="U73" t="s">
        <v>44</v>
      </c>
      <c r="V73" t="s">
        <v>1835</v>
      </c>
    </row>
    <row r="74" spans="1:23">
      <c r="A74" s="21" t="s">
        <v>80</v>
      </c>
      <c r="B74" s="31" t="s">
        <v>83</v>
      </c>
      <c r="C74" s="31" t="s">
        <v>83</v>
      </c>
      <c r="D74" s="31"/>
      <c r="E74" s="21" t="s">
        <v>71</v>
      </c>
      <c r="F74" s="21" t="s">
        <v>82</v>
      </c>
      <c r="G74" s="21"/>
      <c r="H74" s="22"/>
      <c r="I74" s="22"/>
      <c r="J74" s="22"/>
      <c r="K74" s="22"/>
      <c r="L74" s="22"/>
      <c r="M74" s="22"/>
      <c r="N74" s="22"/>
      <c r="O74" s="22"/>
      <c r="P74" s="21"/>
      <c r="Q74" s="21"/>
      <c r="R74" s="21" t="s">
        <v>792</v>
      </c>
      <c r="T74" t="s">
        <v>542</v>
      </c>
      <c r="U74" t="s">
        <v>44</v>
      </c>
      <c r="V74" t="s">
        <v>1835</v>
      </c>
    </row>
    <row r="75" spans="1:23">
      <c r="A75" s="21" t="s">
        <v>80</v>
      </c>
      <c r="B75" s="31" t="s">
        <v>84</v>
      </c>
      <c r="C75" s="31" t="s">
        <v>84</v>
      </c>
      <c r="D75" s="31"/>
      <c r="E75" s="21" t="s">
        <v>71</v>
      </c>
      <c r="F75" s="21" t="s">
        <v>82</v>
      </c>
      <c r="G75" s="21"/>
      <c r="H75" s="22"/>
      <c r="I75" s="22"/>
      <c r="J75" s="22"/>
      <c r="K75" s="22"/>
      <c r="L75" s="22"/>
      <c r="M75" s="22"/>
      <c r="N75" s="22"/>
      <c r="O75" s="22"/>
      <c r="P75" s="21"/>
      <c r="Q75" s="21"/>
      <c r="R75" s="21" t="s">
        <v>792</v>
      </c>
      <c r="T75" t="s">
        <v>542</v>
      </c>
      <c r="U75" t="s">
        <v>44</v>
      </c>
      <c r="V75" t="s">
        <v>1835</v>
      </c>
    </row>
    <row r="76" spans="1:23">
      <c r="A76" s="21" t="s">
        <v>80</v>
      </c>
      <c r="B76" s="31" t="s">
        <v>243</v>
      </c>
      <c r="C76" s="31" t="s">
        <v>243</v>
      </c>
      <c r="D76" s="31"/>
      <c r="E76" s="21" t="s">
        <v>71</v>
      </c>
      <c r="F76" s="21" t="s">
        <v>244</v>
      </c>
      <c r="G76" s="21"/>
      <c r="H76" s="22"/>
      <c r="I76" s="22"/>
      <c r="J76" s="22"/>
      <c r="K76" s="22"/>
      <c r="L76" s="22"/>
      <c r="M76" s="22"/>
      <c r="N76" s="22"/>
      <c r="O76" s="32">
        <v>75000</v>
      </c>
      <c r="P76" s="21"/>
      <c r="Q76" s="21"/>
      <c r="R76" s="21" t="s">
        <v>792</v>
      </c>
      <c r="T76" t="s">
        <v>542</v>
      </c>
      <c r="U76" t="s">
        <v>549</v>
      </c>
      <c r="V76" t="s">
        <v>1836</v>
      </c>
    </row>
    <row r="77" spans="1:23">
      <c r="A77" s="21" t="s">
        <v>245</v>
      </c>
      <c r="B77" s="21" t="s">
        <v>246</v>
      </c>
      <c r="C77" s="21" t="s">
        <v>247</v>
      </c>
      <c r="D77" s="21"/>
      <c r="E77" s="21" t="s">
        <v>120</v>
      </c>
      <c r="F77" s="21" t="s">
        <v>1837</v>
      </c>
      <c r="G77" s="21" t="s">
        <v>249</v>
      </c>
      <c r="H77" s="22" t="s">
        <v>39</v>
      </c>
      <c r="I77" s="22" t="s">
        <v>39</v>
      </c>
      <c r="J77" s="22" t="s">
        <v>141</v>
      </c>
      <c r="K77" s="22" t="s">
        <v>78</v>
      </c>
      <c r="L77" s="22"/>
      <c r="M77" s="22"/>
      <c r="N77" s="22"/>
      <c r="O77" s="23">
        <v>20000</v>
      </c>
      <c r="P77" s="21"/>
      <c r="Q77" s="21"/>
      <c r="R77" s="21" t="s">
        <v>527</v>
      </c>
      <c r="T77" t="s">
        <v>542</v>
      </c>
      <c r="U77" t="s">
        <v>544</v>
      </c>
      <c r="V77" t="s">
        <v>547</v>
      </c>
      <c r="W77" t="s">
        <v>1820</v>
      </c>
    </row>
    <row r="78" spans="1:23">
      <c r="A78" s="21" t="s">
        <v>271</v>
      </c>
      <c r="B78" s="21" t="s">
        <v>271</v>
      </c>
      <c r="C78" s="21" t="s">
        <v>271</v>
      </c>
      <c r="D78" s="21"/>
      <c r="E78" s="21" t="s">
        <v>50</v>
      </c>
      <c r="F78" s="21" t="s">
        <v>51</v>
      </c>
      <c r="G78" s="21"/>
      <c r="H78" s="22"/>
      <c r="I78" s="22" t="s">
        <v>39</v>
      </c>
      <c r="J78" s="22" t="s">
        <v>39</v>
      </c>
      <c r="K78" s="22"/>
      <c r="L78" s="22"/>
      <c r="M78" s="22" t="s">
        <v>39</v>
      </c>
      <c r="N78" s="22" t="s">
        <v>62</v>
      </c>
      <c r="O78" s="32">
        <v>75000</v>
      </c>
      <c r="P78" s="24">
        <v>0.75</v>
      </c>
      <c r="Q78" s="21" t="s">
        <v>272</v>
      </c>
      <c r="R78" s="21" t="s">
        <v>771</v>
      </c>
      <c r="T78" t="s">
        <v>1838</v>
      </c>
      <c r="U78" t="s">
        <v>549</v>
      </c>
      <c r="V78" t="s">
        <v>1839</v>
      </c>
    </row>
    <row r="79" spans="1:23">
      <c r="A79" s="36" t="s">
        <v>273</v>
      </c>
      <c r="B79" s="30" t="s">
        <v>274</v>
      </c>
      <c r="C79" s="30" t="s">
        <v>274</v>
      </c>
      <c r="D79" s="30" t="s">
        <v>275</v>
      </c>
      <c r="E79" s="30" t="s">
        <v>71</v>
      </c>
      <c r="F79" s="30" t="s">
        <v>276</v>
      </c>
      <c r="G79" s="30"/>
      <c r="H79" s="53"/>
      <c r="I79" s="22"/>
      <c r="J79" s="22"/>
      <c r="K79" s="22"/>
      <c r="L79" s="22"/>
      <c r="M79" s="22"/>
      <c r="N79" s="22"/>
      <c r="O79" s="23">
        <v>20000</v>
      </c>
      <c r="P79" s="21"/>
      <c r="Q79" s="21"/>
      <c r="R79" s="21" t="s">
        <v>792</v>
      </c>
      <c r="T79" t="s">
        <v>542</v>
      </c>
      <c r="U79" t="s">
        <v>544</v>
      </c>
    </row>
    <row r="80" spans="1:23">
      <c r="A80" s="42" t="s">
        <v>277</v>
      </c>
      <c r="B80" s="21" t="s">
        <v>278</v>
      </c>
      <c r="C80" s="21" t="s">
        <v>77</v>
      </c>
      <c r="D80" s="21"/>
      <c r="E80" s="21" t="s">
        <v>55</v>
      </c>
      <c r="F80" s="21" t="s">
        <v>115</v>
      </c>
      <c r="G80" s="21"/>
      <c r="H80" s="22" t="s">
        <v>39</v>
      </c>
      <c r="I80" s="22" t="s">
        <v>77</v>
      </c>
      <c r="J80" s="22" t="s">
        <v>39</v>
      </c>
      <c r="K80" s="22" t="s">
        <v>44</v>
      </c>
      <c r="L80" s="22" t="s">
        <v>78</v>
      </c>
      <c r="M80" s="22" t="s">
        <v>141</v>
      </c>
      <c r="N80" s="22" t="s">
        <v>78</v>
      </c>
      <c r="O80" s="23">
        <v>20000</v>
      </c>
      <c r="P80" s="21"/>
      <c r="Q80" s="21"/>
      <c r="R80" s="21" t="s">
        <v>726</v>
      </c>
      <c r="T80" t="s">
        <v>542</v>
      </c>
      <c r="U80" t="s">
        <v>544</v>
      </c>
    </row>
    <row r="81" spans="1:23">
      <c r="A81" s="30" t="s">
        <v>279</v>
      </c>
      <c r="B81" s="30" t="s">
        <v>280</v>
      </c>
      <c r="C81" s="30" t="s">
        <v>280</v>
      </c>
      <c r="D81" s="30"/>
      <c r="E81" s="21" t="s">
        <v>111</v>
      </c>
      <c r="F81" s="21" t="s">
        <v>112</v>
      </c>
      <c r="G81" s="21"/>
      <c r="H81" s="22"/>
      <c r="I81" s="22"/>
      <c r="J81" s="22"/>
      <c r="K81" s="22"/>
      <c r="L81" s="22"/>
      <c r="M81" s="22"/>
      <c r="N81" s="22"/>
      <c r="O81" s="23">
        <v>20000</v>
      </c>
      <c r="P81" s="21"/>
      <c r="Q81" s="21"/>
      <c r="R81" s="21" t="s">
        <v>754</v>
      </c>
      <c r="T81" t="s">
        <v>542</v>
      </c>
      <c r="U81" t="s">
        <v>544</v>
      </c>
    </row>
    <row r="82" spans="1:23">
      <c r="A82" s="21" t="s">
        <v>179</v>
      </c>
      <c r="B82" s="21" t="s">
        <v>180</v>
      </c>
      <c r="C82" s="21" t="s">
        <v>92</v>
      </c>
      <c r="D82" s="21"/>
      <c r="E82" s="21" t="s">
        <v>152</v>
      </c>
      <c r="F82" s="21" t="s">
        <v>1840</v>
      </c>
      <c r="G82" s="21" t="s">
        <v>181</v>
      </c>
      <c r="H82" s="22" t="s">
        <v>39</v>
      </c>
      <c r="I82" s="22"/>
      <c r="J82" s="22"/>
      <c r="K82" s="22"/>
      <c r="L82" s="22"/>
      <c r="M82" s="22"/>
      <c r="N82" s="22"/>
      <c r="O82" s="23">
        <v>50000</v>
      </c>
      <c r="P82" s="21"/>
      <c r="Q82" s="21" t="s">
        <v>1841</v>
      </c>
      <c r="R82" s="21" t="s">
        <v>527</v>
      </c>
      <c r="T82" t="s">
        <v>542</v>
      </c>
      <c r="U82" t="s">
        <v>543</v>
      </c>
      <c r="W82" t="s">
        <v>1820</v>
      </c>
    </row>
    <row r="83" spans="1:23">
      <c r="A83" s="21" t="s">
        <v>281</v>
      </c>
      <c r="B83" s="21" t="s">
        <v>281</v>
      </c>
      <c r="C83" s="21" t="s">
        <v>281</v>
      </c>
      <c r="D83" s="21"/>
      <c r="E83" s="21" t="s">
        <v>50</v>
      </c>
      <c r="F83" s="21" t="s">
        <v>51</v>
      </c>
      <c r="G83" s="21"/>
      <c r="H83" s="22"/>
      <c r="I83" s="22"/>
      <c r="J83" s="22" t="s">
        <v>39</v>
      </c>
      <c r="K83" s="22"/>
      <c r="L83" s="22"/>
      <c r="M83" s="22" t="s">
        <v>39</v>
      </c>
      <c r="N83" s="22"/>
      <c r="O83" s="32">
        <v>0</v>
      </c>
      <c r="P83" s="24">
        <v>0.5</v>
      </c>
      <c r="Q83" s="21" t="s">
        <v>282</v>
      </c>
      <c r="R83" s="21" t="s">
        <v>771</v>
      </c>
      <c r="T83" t="s">
        <v>1838</v>
      </c>
      <c r="U83" t="s">
        <v>44</v>
      </c>
      <c r="V83" t="s">
        <v>1842</v>
      </c>
    </row>
    <row r="84" spans="1:23">
      <c r="A84" s="21" t="s">
        <v>234</v>
      </c>
      <c r="B84" s="21" t="s">
        <v>223</v>
      </c>
      <c r="C84" s="21" t="s">
        <v>223</v>
      </c>
      <c r="D84" s="21" t="s">
        <v>224</v>
      </c>
      <c r="E84" s="21" t="s">
        <v>60</v>
      </c>
      <c r="F84" s="21" t="s">
        <v>225</v>
      </c>
      <c r="G84" s="21" t="s">
        <v>62</v>
      </c>
      <c r="H84" s="22" t="s">
        <v>78</v>
      </c>
      <c r="I84" s="22" t="s">
        <v>63</v>
      </c>
      <c r="J84" s="22" t="s">
        <v>226</v>
      </c>
      <c r="K84" s="22" t="s">
        <v>227</v>
      </c>
      <c r="L84" s="22" t="s">
        <v>227</v>
      </c>
      <c r="M84" s="22" t="s">
        <v>227</v>
      </c>
      <c r="N84" s="22" t="s">
        <v>227</v>
      </c>
      <c r="O84" s="23">
        <v>20000</v>
      </c>
      <c r="P84" s="24">
        <v>0.9</v>
      </c>
      <c r="Q84" s="21" t="s">
        <v>228</v>
      </c>
      <c r="R84" s="21" t="s">
        <v>788</v>
      </c>
      <c r="T84" t="s">
        <v>542</v>
      </c>
      <c r="U84" t="s">
        <v>1800</v>
      </c>
      <c r="V84" t="s">
        <v>1801</v>
      </c>
    </row>
    <row r="85" spans="1:23">
      <c r="A85" s="21" t="s">
        <v>235</v>
      </c>
      <c r="B85" s="21" t="s">
        <v>223</v>
      </c>
      <c r="C85" s="21" t="s">
        <v>223</v>
      </c>
      <c r="D85" s="21" t="s">
        <v>224</v>
      </c>
      <c r="E85" s="21" t="s">
        <v>60</v>
      </c>
      <c r="F85" s="21" t="s">
        <v>225</v>
      </c>
      <c r="G85" s="21" t="s">
        <v>62</v>
      </c>
      <c r="H85" s="22" t="s">
        <v>78</v>
      </c>
      <c r="I85" s="22" t="s">
        <v>63</v>
      </c>
      <c r="J85" s="22" t="s">
        <v>226</v>
      </c>
      <c r="K85" s="22" t="s">
        <v>227</v>
      </c>
      <c r="L85" s="22" t="s">
        <v>227</v>
      </c>
      <c r="M85" s="22" t="s">
        <v>227</v>
      </c>
      <c r="N85" s="22" t="s">
        <v>227</v>
      </c>
      <c r="O85" s="23">
        <v>20000</v>
      </c>
      <c r="P85" s="24">
        <v>0.9</v>
      </c>
      <c r="Q85" s="21" t="s">
        <v>228</v>
      </c>
      <c r="R85" s="21" t="s">
        <v>788</v>
      </c>
      <c r="T85" t="s">
        <v>542</v>
      </c>
      <c r="U85" t="s">
        <v>1800</v>
      </c>
      <c r="V85" t="s">
        <v>1801</v>
      </c>
    </row>
    <row r="86" spans="1:23" s="50" customFormat="1">
      <c r="A86" s="21" t="s">
        <v>289</v>
      </c>
      <c r="B86" s="21" t="s">
        <v>289</v>
      </c>
      <c r="C86" s="21" t="s">
        <v>289</v>
      </c>
      <c r="D86" s="21" t="s">
        <v>290</v>
      </c>
      <c r="E86" s="21" t="s">
        <v>71</v>
      </c>
      <c r="F86" s="21" t="s">
        <v>138</v>
      </c>
      <c r="G86" s="21"/>
      <c r="H86" s="22"/>
      <c r="I86" s="22"/>
      <c r="J86" s="22"/>
      <c r="K86" s="22"/>
      <c r="L86" s="22"/>
      <c r="M86" s="22"/>
      <c r="N86" s="22"/>
      <c r="O86" s="23">
        <v>20000</v>
      </c>
      <c r="P86" s="21"/>
      <c r="Q86" s="21"/>
      <c r="R86" s="21" t="s">
        <v>792</v>
      </c>
      <c r="S86"/>
      <c r="T86" t="s">
        <v>542</v>
      </c>
      <c r="U86" t="s">
        <v>544</v>
      </c>
      <c r="V86"/>
      <c r="W86"/>
    </row>
    <row r="87" spans="1:23">
      <c r="A87" s="21" t="s">
        <v>325</v>
      </c>
      <c r="B87" s="21" t="s">
        <v>325</v>
      </c>
      <c r="C87" s="21" t="s">
        <v>325</v>
      </c>
      <c r="D87" s="21"/>
      <c r="E87" s="21" t="s">
        <v>326</v>
      </c>
      <c r="F87" s="21" t="s">
        <v>327</v>
      </c>
      <c r="G87" s="21" t="s">
        <v>328</v>
      </c>
      <c r="H87" s="22" t="s">
        <v>44</v>
      </c>
      <c r="I87" s="22"/>
      <c r="J87" s="22"/>
      <c r="K87" s="22"/>
      <c r="L87" s="22"/>
      <c r="M87" s="22"/>
      <c r="N87" s="22"/>
      <c r="O87" s="22"/>
      <c r="P87" s="21"/>
      <c r="Q87" s="21"/>
      <c r="R87" s="21" t="s">
        <v>527</v>
      </c>
      <c r="T87" t="s">
        <v>542</v>
      </c>
      <c r="U87" t="s">
        <v>44</v>
      </c>
      <c r="V87" s="5" t="s">
        <v>328</v>
      </c>
    </row>
    <row r="88" spans="1:23">
      <c r="A88" s="21" t="s">
        <v>329</v>
      </c>
      <c r="B88" s="31" t="s">
        <v>330</v>
      </c>
      <c r="C88" s="31" t="s">
        <v>330</v>
      </c>
      <c r="D88" s="31" t="s">
        <v>331</v>
      </c>
      <c r="E88" s="21" t="s">
        <v>71</v>
      </c>
      <c r="F88" s="21" t="s">
        <v>332</v>
      </c>
      <c r="G88" s="21"/>
      <c r="H88" s="22"/>
      <c r="I88" s="22"/>
      <c r="J88" s="22"/>
      <c r="K88" s="22"/>
      <c r="L88" s="22"/>
      <c r="M88" s="22"/>
      <c r="N88" s="22"/>
      <c r="O88" s="22"/>
      <c r="P88" s="21"/>
      <c r="Q88" s="21"/>
      <c r="R88" s="21" t="s">
        <v>792</v>
      </c>
      <c r="T88" t="s">
        <v>44</v>
      </c>
      <c r="U88" t="s">
        <v>44</v>
      </c>
      <c r="V88" t="s">
        <v>1843</v>
      </c>
    </row>
    <row r="89" spans="1:23" s="66" customFormat="1">
      <c r="A89" s="67" t="s">
        <v>303</v>
      </c>
      <c r="B89" s="67" t="s">
        <v>294</v>
      </c>
      <c r="C89" s="67" t="s">
        <v>92</v>
      </c>
      <c r="D89" s="67"/>
      <c r="E89" s="67" t="s">
        <v>295</v>
      </c>
      <c r="F89" s="67" t="s">
        <v>701</v>
      </c>
      <c r="G89" s="67" t="s">
        <v>299</v>
      </c>
      <c r="H89" s="68" t="s">
        <v>39</v>
      </c>
      <c r="I89" s="68" t="s">
        <v>39</v>
      </c>
      <c r="J89" s="68" t="s">
        <v>39</v>
      </c>
      <c r="K89" s="68" t="s">
        <v>78</v>
      </c>
      <c r="L89" s="68" t="s">
        <v>78</v>
      </c>
      <c r="M89" s="68"/>
      <c r="N89" s="68"/>
      <c r="O89" s="69">
        <v>20000</v>
      </c>
      <c r="P89" s="67"/>
      <c r="Q89" s="67"/>
      <c r="R89" s="67" t="s">
        <v>527</v>
      </c>
      <c r="S89" s="66" t="s">
        <v>545</v>
      </c>
      <c r="T89" s="66" t="s">
        <v>542</v>
      </c>
      <c r="U89" s="66" t="s">
        <v>544</v>
      </c>
      <c r="V89" s="66" t="s">
        <v>546</v>
      </c>
    </row>
    <row r="90" spans="1:23">
      <c r="A90" s="21" t="s">
        <v>236</v>
      </c>
      <c r="B90" s="21" t="s">
        <v>223</v>
      </c>
      <c r="C90" s="21" t="s">
        <v>223</v>
      </c>
      <c r="D90" s="21" t="s">
        <v>224</v>
      </c>
      <c r="E90" s="21" t="s">
        <v>60</v>
      </c>
      <c r="F90" s="21" t="s">
        <v>225</v>
      </c>
      <c r="G90" s="21" t="s">
        <v>62</v>
      </c>
      <c r="H90" s="22" t="s">
        <v>78</v>
      </c>
      <c r="I90" s="22" t="s">
        <v>63</v>
      </c>
      <c r="J90" s="22" t="s">
        <v>226</v>
      </c>
      <c r="K90" s="22" t="s">
        <v>227</v>
      </c>
      <c r="L90" s="22" t="s">
        <v>227</v>
      </c>
      <c r="M90" s="22" t="s">
        <v>227</v>
      </c>
      <c r="N90" s="22" t="s">
        <v>227</v>
      </c>
      <c r="O90" s="23">
        <v>20000</v>
      </c>
      <c r="P90" s="24">
        <v>0.9</v>
      </c>
      <c r="Q90" s="21" t="s">
        <v>228</v>
      </c>
      <c r="R90" s="21" t="s">
        <v>788</v>
      </c>
      <c r="T90" t="s">
        <v>542</v>
      </c>
      <c r="U90" t="s">
        <v>1800</v>
      </c>
      <c r="V90" t="s">
        <v>1801</v>
      </c>
    </row>
    <row r="91" spans="1:23" s="66" customFormat="1">
      <c r="A91" s="67" t="s">
        <v>304</v>
      </c>
      <c r="B91" s="67" t="s">
        <v>294</v>
      </c>
      <c r="C91" s="67" t="s">
        <v>92</v>
      </c>
      <c r="D91" s="67"/>
      <c r="E91" s="67" t="s">
        <v>295</v>
      </c>
      <c r="F91" s="67" t="s">
        <v>701</v>
      </c>
      <c r="G91" s="67" t="s">
        <v>299</v>
      </c>
      <c r="H91" s="68" t="s">
        <v>39</v>
      </c>
      <c r="I91" s="68" t="s">
        <v>39</v>
      </c>
      <c r="J91" s="68" t="s">
        <v>39</v>
      </c>
      <c r="K91" s="68" t="s">
        <v>78</v>
      </c>
      <c r="L91" s="68" t="s">
        <v>78</v>
      </c>
      <c r="M91" s="68"/>
      <c r="N91" s="68"/>
      <c r="O91" s="69">
        <v>20000</v>
      </c>
      <c r="P91" s="67"/>
      <c r="Q91" s="67"/>
      <c r="R91" s="67" t="s">
        <v>527</v>
      </c>
      <c r="S91" s="66" t="s">
        <v>545</v>
      </c>
      <c r="T91" s="66" t="s">
        <v>542</v>
      </c>
      <c r="U91" s="66" t="s">
        <v>544</v>
      </c>
      <c r="V91" s="66" t="s">
        <v>546</v>
      </c>
    </row>
    <row r="92" spans="1:23" s="66" customFormat="1">
      <c r="A92" s="67" t="s">
        <v>305</v>
      </c>
      <c r="B92" s="67" t="s">
        <v>294</v>
      </c>
      <c r="C92" s="67" t="s">
        <v>92</v>
      </c>
      <c r="D92" s="67"/>
      <c r="E92" s="67" t="s">
        <v>295</v>
      </c>
      <c r="F92" s="67" t="s">
        <v>701</v>
      </c>
      <c r="G92" s="67" t="s">
        <v>299</v>
      </c>
      <c r="H92" s="68" t="s">
        <v>39</v>
      </c>
      <c r="I92" s="68" t="s">
        <v>39</v>
      </c>
      <c r="J92" s="68" t="s">
        <v>39</v>
      </c>
      <c r="K92" s="68" t="s">
        <v>78</v>
      </c>
      <c r="L92" s="68" t="s">
        <v>78</v>
      </c>
      <c r="M92" s="68"/>
      <c r="N92" s="68"/>
      <c r="O92" s="69">
        <v>20000</v>
      </c>
      <c r="P92" s="67"/>
      <c r="Q92" s="67"/>
      <c r="R92" s="67" t="s">
        <v>527</v>
      </c>
      <c r="S92" s="66" t="s">
        <v>545</v>
      </c>
      <c r="T92" s="66" t="s">
        <v>542</v>
      </c>
      <c r="U92" s="66" t="s">
        <v>544</v>
      </c>
      <c r="V92" s="66" t="s">
        <v>546</v>
      </c>
    </row>
    <row r="93" spans="1:23">
      <c r="A93" s="21" t="s">
        <v>633</v>
      </c>
      <c r="B93" s="21" t="s">
        <v>370</v>
      </c>
      <c r="C93" s="21" t="s">
        <v>370</v>
      </c>
      <c r="D93" s="21"/>
      <c r="E93" s="21" t="s">
        <v>120</v>
      </c>
      <c r="F93" s="21" t="s">
        <v>1844</v>
      </c>
      <c r="G93" s="25" t="s">
        <v>372</v>
      </c>
      <c r="H93" s="22" t="s">
        <v>39</v>
      </c>
      <c r="I93" s="22" t="s">
        <v>39</v>
      </c>
      <c r="J93" s="22" t="s">
        <v>39</v>
      </c>
      <c r="K93" s="22" t="s">
        <v>44</v>
      </c>
      <c r="L93" s="22" t="s">
        <v>141</v>
      </c>
      <c r="M93" s="22"/>
      <c r="N93" s="22"/>
      <c r="O93" s="23">
        <v>50000</v>
      </c>
      <c r="P93" s="21"/>
      <c r="Q93" s="21" t="s">
        <v>373</v>
      </c>
      <c r="R93" s="21" t="s">
        <v>527</v>
      </c>
      <c r="T93" t="s">
        <v>542</v>
      </c>
      <c r="U93" t="s">
        <v>543</v>
      </c>
      <c r="V93" t="s">
        <v>1845</v>
      </c>
      <c r="W93" t="s">
        <v>40</v>
      </c>
    </row>
    <row r="94" spans="1:23">
      <c r="A94" s="21" t="s">
        <v>237</v>
      </c>
      <c r="B94" s="21" t="s">
        <v>223</v>
      </c>
      <c r="C94" s="21" t="s">
        <v>223</v>
      </c>
      <c r="D94" s="21" t="s">
        <v>224</v>
      </c>
      <c r="E94" s="21" t="s">
        <v>60</v>
      </c>
      <c r="F94" s="21" t="s">
        <v>225</v>
      </c>
      <c r="G94" s="21" t="s">
        <v>62</v>
      </c>
      <c r="H94" s="22" t="s">
        <v>78</v>
      </c>
      <c r="I94" s="22" t="s">
        <v>63</v>
      </c>
      <c r="J94" s="22" t="s">
        <v>226</v>
      </c>
      <c r="K94" s="22" t="s">
        <v>227</v>
      </c>
      <c r="L94" s="22" t="s">
        <v>227</v>
      </c>
      <c r="M94" s="22" t="s">
        <v>227</v>
      </c>
      <c r="N94" s="22" t="s">
        <v>227</v>
      </c>
      <c r="O94" s="23">
        <v>20000</v>
      </c>
      <c r="P94" s="24">
        <v>0.9</v>
      </c>
      <c r="Q94" s="21" t="s">
        <v>228</v>
      </c>
      <c r="R94" s="21" t="s">
        <v>788</v>
      </c>
      <c r="T94" t="s">
        <v>542</v>
      </c>
      <c r="U94" t="s">
        <v>1800</v>
      </c>
      <c r="V94" t="s">
        <v>1801</v>
      </c>
    </row>
    <row r="95" spans="1:23">
      <c r="A95" s="21" t="s">
        <v>238</v>
      </c>
      <c r="B95" s="21" t="s">
        <v>223</v>
      </c>
      <c r="C95" s="21" t="s">
        <v>223</v>
      </c>
      <c r="D95" s="21" t="s">
        <v>224</v>
      </c>
      <c r="E95" s="21" t="s">
        <v>60</v>
      </c>
      <c r="F95" s="21" t="s">
        <v>225</v>
      </c>
      <c r="G95" s="21" t="s">
        <v>62</v>
      </c>
      <c r="H95" s="22" t="s">
        <v>78</v>
      </c>
      <c r="I95" s="22" t="s">
        <v>63</v>
      </c>
      <c r="J95" s="22" t="s">
        <v>226</v>
      </c>
      <c r="K95" s="22" t="s">
        <v>227</v>
      </c>
      <c r="L95" s="22" t="s">
        <v>227</v>
      </c>
      <c r="M95" s="22" t="s">
        <v>227</v>
      </c>
      <c r="N95" s="22" t="s">
        <v>227</v>
      </c>
      <c r="O95" s="23">
        <v>20000</v>
      </c>
      <c r="P95" s="24">
        <v>0.9</v>
      </c>
      <c r="Q95" s="21" t="s">
        <v>228</v>
      </c>
      <c r="R95" s="21" t="s">
        <v>788</v>
      </c>
      <c r="T95" t="s">
        <v>542</v>
      </c>
      <c r="U95" t="s">
        <v>1800</v>
      </c>
      <c r="V95" t="s">
        <v>1801</v>
      </c>
    </row>
    <row r="96" spans="1:23">
      <c r="A96" s="21" t="s">
        <v>34</v>
      </c>
      <c r="B96" s="21" t="s">
        <v>35</v>
      </c>
      <c r="C96" s="21" t="s">
        <v>35</v>
      </c>
      <c r="D96" s="21"/>
      <c r="E96" s="21" t="s">
        <v>36</v>
      </c>
      <c r="F96" s="21" t="s">
        <v>1846</v>
      </c>
      <c r="G96" s="21" t="s">
        <v>38</v>
      </c>
      <c r="H96" s="22" t="s">
        <v>39</v>
      </c>
      <c r="I96" s="22" t="s">
        <v>39</v>
      </c>
      <c r="J96" s="22" t="s">
        <v>39</v>
      </c>
      <c r="K96" s="22"/>
      <c r="L96" s="22"/>
      <c r="M96" s="22"/>
      <c r="N96" s="22" t="s">
        <v>40</v>
      </c>
      <c r="O96" s="32">
        <v>75000</v>
      </c>
      <c r="P96" s="21"/>
      <c r="Q96" s="21" t="s">
        <v>41</v>
      </c>
      <c r="R96" s="21" t="s">
        <v>527</v>
      </c>
      <c r="T96" t="s">
        <v>542</v>
      </c>
      <c r="U96" t="s">
        <v>549</v>
      </c>
      <c r="W96" t="s">
        <v>1831</v>
      </c>
    </row>
    <row r="97" spans="1:23">
      <c r="A97" s="21" t="s">
        <v>175</v>
      </c>
      <c r="B97" s="21" t="s">
        <v>176</v>
      </c>
      <c r="C97" s="21" t="s">
        <v>92</v>
      </c>
      <c r="D97" s="21"/>
      <c r="E97" s="21" t="s">
        <v>152</v>
      </c>
      <c r="F97" s="21" t="s">
        <v>1847</v>
      </c>
      <c r="G97" s="21" t="s">
        <v>177</v>
      </c>
      <c r="H97" s="22" t="s">
        <v>39</v>
      </c>
      <c r="I97" s="22" t="s">
        <v>77</v>
      </c>
      <c r="J97" s="22" t="s">
        <v>77</v>
      </c>
      <c r="K97" s="22" t="s">
        <v>77</v>
      </c>
      <c r="L97" s="22" t="s">
        <v>77</v>
      </c>
      <c r="M97" s="22" t="s">
        <v>77</v>
      </c>
      <c r="N97" s="22" t="s">
        <v>77</v>
      </c>
      <c r="O97" s="23">
        <v>20000</v>
      </c>
      <c r="P97" s="22" t="s">
        <v>77</v>
      </c>
      <c r="Q97" s="21" t="s">
        <v>178</v>
      </c>
      <c r="R97" s="21" t="s">
        <v>527</v>
      </c>
      <c r="T97" t="s">
        <v>542</v>
      </c>
      <c r="U97" t="s">
        <v>544</v>
      </c>
    </row>
    <row r="98" spans="1:23">
      <c r="A98" s="21" t="s">
        <v>558</v>
      </c>
      <c r="B98" s="21" t="s">
        <v>783</v>
      </c>
      <c r="C98" s="21" t="s">
        <v>783</v>
      </c>
      <c r="D98" s="4"/>
      <c r="E98" s="21" t="s">
        <v>50</v>
      </c>
      <c r="F98" s="21" t="s">
        <v>338</v>
      </c>
      <c r="G98" s="4"/>
      <c r="H98" s="16"/>
      <c r="I98" s="16"/>
      <c r="J98" s="16" t="s">
        <v>39</v>
      </c>
      <c r="K98" s="16"/>
      <c r="L98" s="16"/>
      <c r="M98" s="16" t="s">
        <v>39</v>
      </c>
      <c r="N98" s="16"/>
      <c r="O98" s="23">
        <v>20000</v>
      </c>
      <c r="P98" s="4"/>
      <c r="Q98" s="21" t="s">
        <v>1848</v>
      </c>
      <c r="R98" s="21" t="s">
        <v>771</v>
      </c>
      <c r="T98" t="s">
        <v>542</v>
      </c>
      <c r="U98" t="s">
        <v>544</v>
      </c>
    </row>
    <row r="99" spans="1:23">
      <c r="A99" s="21" t="s">
        <v>257</v>
      </c>
      <c r="B99" s="31" t="s">
        <v>258</v>
      </c>
      <c r="C99" s="31" t="s">
        <v>258</v>
      </c>
      <c r="D99" s="31" t="s">
        <v>100</v>
      </c>
      <c r="E99" s="21" t="s">
        <v>71</v>
      </c>
      <c r="F99" s="21" t="s">
        <v>259</v>
      </c>
      <c r="G99" s="21"/>
      <c r="H99" s="22"/>
      <c r="I99" s="22"/>
      <c r="J99" s="22"/>
      <c r="K99" s="22"/>
      <c r="L99" s="22"/>
      <c r="M99" s="22"/>
      <c r="N99" s="22"/>
      <c r="O99" s="23">
        <v>20000</v>
      </c>
      <c r="P99" s="21"/>
      <c r="Q99" s="21"/>
      <c r="R99" s="21" t="s">
        <v>792</v>
      </c>
      <c r="T99" t="s">
        <v>542</v>
      </c>
      <c r="U99" t="s">
        <v>544</v>
      </c>
      <c r="V99" t="s">
        <v>1849</v>
      </c>
    </row>
    <row r="100" spans="1:23">
      <c r="A100" s="21" t="s">
        <v>257</v>
      </c>
      <c r="B100" s="31" t="s">
        <v>464</v>
      </c>
      <c r="C100" s="31" t="s">
        <v>464</v>
      </c>
      <c r="D100" s="31" t="s">
        <v>100</v>
      </c>
      <c r="E100" s="21" t="s">
        <v>71</v>
      </c>
      <c r="F100" s="21" t="s">
        <v>259</v>
      </c>
      <c r="G100" s="21"/>
      <c r="H100" s="22"/>
      <c r="I100" s="22"/>
      <c r="J100" s="22"/>
      <c r="K100" s="22"/>
      <c r="L100" s="22"/>
      <c r="M100" s="22"/>
      <c r="N100" s="22"/>
      <c r="O100" s="22"/>
      <c r="P100" s="21"/>
      <c r="Q100" s="21"/>
      <c r="R100" s="21" t="s">
        <v>792</v>
      </c>
      <c r="T100" t="s">
        <v>542</v>
      </c>
      <c r="U100" t="s">
        <v>44</v>
      </c>
      <c r="V100" t="s">
        <v>1850</v>
      </c>
    </row>
    <row r="101" spans="1:23">
      <c r="A101" s="21" t="s">
        <v>257</v>
      </c>
      <c r="B101" s="31" t="s">
        <v>470</v>
      </c>
      <c r="C101" s="31" t="s">
        <v>470</v>
      </c>
      <c r="D101" s="31"/>
      <c r="E101" s="21" t="s">
        <v>71</v>
      </c>
      <c r="F101" s="21" t="s">
        <v>471</v>
      </c>
      <c r="G101" s="21"/>
      <c r="H101" s="22"/>
      <c r="I101" s="22"/>
      <c r="J101" s="22"/>
      <c r="K101" s="22"/>
      <c r="L101" s="22"/>
      <c r="M101" s="22"/>
      <c r="N101" s="22"/>
      <c r="O101" s="32">
        <v>75000</v>
      </c>
      <c r="P101" s="21"/>
      <c r="Q101" s="21"/>
      <c r="R101" s="21" t="s">
        <v>792</v>
      </c>
      <c r="T101" t="s">
        <v>542</v>
      </c>
      <c r="U101" t="s">
        <v>549</v>
      </c>
    </row>
    <row r="102" spans="1:23" ht="30">
      <c r="A102" s="21" t="s">
        <v>186</v>
      </c>
      <c r="B102" s="21" t="s">
        <v>187</v>
      </c>
      <c r="C102" s="21" t="s">
        <v>92</v>
      </c>
      <c r="D102" s="21"/>
      <c r="E102" s="21" t="s">
        <v>161</v>
      </c>
      <c r="F102" s="21" t="s">
        <v>1826</v>
      </c>
      <c r="G102" s="83" t="s">
        <v>189</v>
      </c>
      <c r="H102" s="22" t="s">
        <v>39</v>
      </c>
      <c r="I102" s="22" t="s">
        <v>78</v>
      </c>
      <c r="J102" s="22" t="s">
        <v>39</v>
      </c>
      <c r="K102" s="22" t="s">
        <v>141</v>
      </c>
      <c r="L102" s="22" t="s">
        <v>141</v>
      </c>
      <c r="M102" s="22" t="s">
        <v>141</v>
      </c>
      <c r="N102" s="22" t="s">
        <v>141</v>
      </c>
      <c r="O102" s="23">
        <v>50000</v>
      </c>
      <c r="P102" s="21"/>
      <c r="Q102" s="21" t="s">
        <v>190</v>
      </c>
      <c r="R102" s="21" t="s">
        <v>527</v>
      </c>
      <c r="T102" t="s">
        <v>542</v>
      </c>
      <c r="U102" t="s">
        <v>543</v>
      </c>
      <c r="W102" t="s">
        <v>1820</v>
      </c>
    </row>
    <row r="103" spans="1:23">
      <c r="A103" s="21" t="s">
        <v>239</v>
      </c>
      <c r="B103" s="21" t="s">
        <v>223</v>
      </c>
      <c r="C103" s="21" t="s">
        <v>223</v>
      </c>
      <c r="D103" s="21" t="s">
        <v>224</v>
      </c>
      <c r="E103" s="21" t="s">
        <v>60</v>
      </c>
      <c r="F103" s="21" t="s">
        <v>225</v>
      </c>
      <c r="G103" s="21" t="s">
        <v>62</v>
      </c>
      <c r="H103" s="22" t="s">
        <v>78</v>
      </c>
      <c r="I103" s="22" t="s">
        <v>63</v>
      </c>
      <c r="J103" s="22" t="s">
        <v>226</v>
      </c>
      <c r="K103" s="22" t="s">
        <v>227</v>
      </c>
      <c r="L103" s="22" t="s">
        <v>227</v>
      </c>
      <c r="M103" s="22" t="s">
        <v>227</v>
      </c>
      <c r="N103" s="22" t="s">
        <v>227</v>
      </c>
      <c r="O103" s="23">
        <v>20000</v>
      </c>
      <c r="P103" s="24">
        <v>0.9</v>
      </c>
      <c r="Q103" s="21" t="s">
        <v>228</v>
      </c>
      <c r="R103" s="21" t="s">
        <v>788</v>
      </c>
      <c r="T103" t="s">
        <v>542</v>
      </c>
      <c r="U103" t="s">
        <v>1800</v>
      </c>
      <c r="V103" t="s">
        <v>1801</v>
      </c>
    </row>
    <row r="104" spans="1:23">
      <c r="A104" s="36" t="s">
        <v>479</v>
      </c>
      <c r="B104" s="21" t="s">
        <v>480</v>
      </c>
      <c r="C104" s="21" t="s">
        <v>92</v>
      </c>
      <c r="D104" s="21" t="s">
        <v>360</v>
      </c>
      <c r="E104" s="21" t="s">
        <v>71</v>
      </c>
      <c r="F104" s="21" t="s">
        <v>481</v>
      </c>
      <c r="G104" s="21"/>
      <c r="H104" s="22"/>
      <c r="I104" s="22"/>
      <c r="J104" s="22"/>
      <c r="K104" s="22"/>
      <c r="L104" s="22"/>
      <c r="M104" s="22"/>
      <c r="N104" s="22"/>
      <c r="O104" s="23">
        <v>50000</v>
      </c>
      <c r="P104" s="21"/>
      <c r="Q104" s="21"/>
      <c r="R104" s="21" t="s">
        <v>792</v>
      </c>
      <c r="T104" t="s">
        <v>542</v>
      </c>
      <c r="U104" t="s">
        <v>543</v>
      </c>
    </row>
    <row r="105" spans="1:23" s="66" customFormat="1">
      <c r="A105" s="67" t="s">
        <v>306</v>
      </c>
      <c r="B105" s="67" t="s">
        <v>294</v>
      </c>
      <c r="C105" s="67" t="s">
        <v>92</v>
      </c>
      <c r="D105" s="67"/>
      <c r="E105" s="67" t="s">
        <v>295</v>
      </c>
      <c r="F105" s="67" t="s">
        <v>701</v>
      </c>
      <c r="G105" s="67" t="s">
        <v>299</v>
      </c>
      <c r="H105" s="68" t="s">
        <v>39</v>
      </c>
      <c r="I105" s="68" t="s">
        <v>39</v>
      </c>
      <c r="J105" s="68" t="s">
        <v>39</v>
      </c>
      <c r="K105" s="68" t="s">
        <v>78</v>
      </c>
      <c r="L105" s="68" t="s">
        <v>78</v>
      </c>
      <c r="M105" s="68"/>
      <c r="N105" s="68"/>
      <c r="O105" s="69">
        <v>20000</v>
      </c>
      <c r="P105" s="67"/>
      <c r="Q105" s="67"/>
      <c r="R105" s="67" t="s">
        <v>527</v>
      </c>
      <c r="S105" s="66" t="s">
        <v>545</v>
      </c>
      <c r="T105" s="66" t="s">
        <v>542</v>
      </c>
      <c r="U105" s="66" t="s">
        <v>544</v>
      </c>
      <c r="V105" s="66" t="s">
        <v>546</v>
      </c>
    </row>
    <row r="106" spans="1:23">
      <c r="A106" s="21" t="s">
        <v>322</v>
      </c>
      <c r="B106" s="31" t="s">
        <v>323</v>
      </c>
      <c r="C106" s="31" t="s">
        <v>323</v>
      </c>
      <c r="D106" s="31" t="s">
        <v>100</v>
      </c>
      <c r="E106" s="21" t="s">
        <v>71</v>
      </c>
      <c r="F106" s="21" t="s">
        <v>324</v>
      </c>
      <c r="G106" s="21"/>
      <c r="H106" s="22"/>
      <c r="I106" s="22"/>
      <c r="J106" s="22"/>
      <c r="K106" s="22"/>
      <c r="L106" s="22"/>
      <c r="M106" s="22"/>
      <c r="N106" s="22"/>
      <c r="O106" s="22"/>
      <c r="P106" s="21"/>
      <c r="Q106" s="21"/>
      <c r="R106" s="21" t="s">
        <v>792</v>
      </c>
      <c r="S106" t="s">
        <v>1851</v>
      </c>
      <c r="T106" t="s">
        <v>542</v>
      </c>
      <c r="U106" t="s">
        <v>44</v>
      </c>
      <c r="V106" t="s">
        <v>1852</v>
      </c>
    </row>
    <row r="107" spans="1:23" s="66" customFormat="1">
      <c r="A107" s="67" t="s">
        <v>307</v>
      </c>
      <c r="B107" s="67" t="s">
        <v>294</v>
      </c>
      <c r="C107" s="67" t="s">
        <v>92</v>
      </c>
      <c r="D107" s="67"/>
      <c r="E107" s="67" t="s">
        <v>295</v>
      </c>
      <c r="F107" s="67" t="s">
        <v>701</v>
      </c>
      <c r="G107" s="67" t="s">
        <v>299</v>
      </c>
      <c r="H107" s="68" t="s">
        <v>39</v>
      </c>
      <c r="I107" s="68" t="s">
        <v>39</v>
      </c>
      <c r="J107" s="68" t="s">
        <v>39</v>
      </c>
      <c r="K107" s="68" t="s">
        <v>78</v>
      </c>
      <c r="L107" s="68" t="s">
        <v>78</v>
      </c>
      <c r="M107" s="68"/>
      <c r="N107" s="68"/>
      <c r="O107" s="69">
        <v>20000</v>
      </c>
      <c r="P107" s="67"/>
      <c r="Q107" s="67"/>
      <c r="R107" s="67" t="s">
        <v>527</v>
      </c>
      <c r="S107" s="66" t="s">
        <v>545</v>
      </c>
      <c r="T107" s="66" t="s">
        <v>542</v>
      </c>
      <c r="U107" s="66" t="s">
        <v>544</v>
      </c>
      <c r="V107" s="66" t="s">
        <v>546</v>
      </c>
    </row>
    <row r="108" spans="1:23">
      <c r="A108" s="21" t="s">
        <v>512</v>
      </c>
      <c r="B108" s="31" t="s">
        <v>513</v>
      </c>
      <c r="C108" s="31" t="s">
        <v>513</v>
      </c>
      <c r="D108" s="31"/>
      <c r="E108" s="21" t="s">
        <v>71</v>
      </c>
      <c r="F108" s="21" t="s">
        <v>471</v>
      </c>
      <c r="G108" s="21"/>
      <c r="H108" s="22"/>
      <c r="I108" s="22"/>
      <c r="J108" s="22"/>
      <c r="K108" s="22"/>
      <c r="L108" s="22"/>
      <c r="M108" s="22"/>
      <c r="N108" s="22"/>
      <c r="O108" s="23">
        <v>20000</v>
      </c>
      <c r="P108" s="21"/>
      <c r="Q108" s="21"/>
      <c r="R108" s="21" t="s">
        <v>792</v>
      </c>
      <c r="T108" t="s">
        <v>542</v>
      </c>
      <c r="U108" t="s">
        <v>544</v>
      </c>
    </row>
    <row r="109" spans="1:23">
      <c r="A109" s="21" t="s">
        <v>351</v>
      </c>
      <c r="B109" s="21" t="s">
        <v>352</v>
      </c>
      <c r="C109" s="21" t="s">
        <v>352</v>
      </c>
      <c r="D109" s="21"/>
      <c r="E109" s="21" t="s">
        <v>111</v>
      </c>
      <c r="F109" s="21" t="s">
        <v>112</v>
      </c>
      <c r="G109" s="31"/>
      <c r="H109" s="51"/>
      <c r="I109" s="22"/>
      <c r="J109" s="22"/>
      <c r="K109" s="22"/>
      <c r="L109" s="22"/>
      <c r="M109" s="22"/>
      <c r="N109" s="22"/>
      <c r="O109" s="23">
        <v>50000</v>
      </c>
      <c r="P109" s="21"/>
      <c r="Q109" s="21"/>
      <c r="R109" s="21" t="s">
        <v>754</v>
      </c>
      <c r="T109" t="s">
        <v>542</v>
      </c>
      <c r="U109" t="s">
        <v>543</v>
      </c>
    </row>
    <row r="110" spans="1:23">
      <c r="A110" s="21" t="s">
        <v>353</v>
      </c>
      <c r="B110" s="21" t="s">
        <v>354</v>
      </c>
      <c r="C110" s="21" t="s">
        <v>354</v>
      </c>
      <c r="D110" s="21" t="s">
        <v>355</v>
      </c>
      <c r="E110" s="21" t="s">
        <v>60</v>
      </c>
      <c r="F110" s="21" t="s">
        <v>356</v>
      </c>
      <c r="G110" s="21" t="s">
        <v>62</v>
      </c>
      <c r="H110" s="22" t="s">
        <v>78</v>
      </c>
      <c r="I110" s="22" t="s">
        <v>63</v>
      </c>
      <c r="J110" s="22" t="s">
        <v>39</v>
      </c>
      <c r="K110" s="22" t="s">
        <v>64</v>
      </c>
      <c r="L110" s="22" t="s">
        <v>64</v>
      </c>
      <c r="M110" s="22" t="s">
        <v>64</v>
      </c>
      <c r="N110" s="22" t="s">
        <v>64</v>
      </c>
      <c r="O110" s="23">
        <v>20000</v>
      </c>
      <c r="P110" s="24">
        <v>0.25</v>
      </c>
      <c r="Q110" s="21" t="s">
        <v>357</v>
      </c>
      <c r="R110" s="21" t="s">
        <v>788</v>
      </c>
      <c r="T110" t="s">
        <v>542</v>
      </c>
      <c r="U110" t="s">
        <v>1800</v>
      </c>
      <c r="V110" t="s">
        <v>1853</v>
      </c>
    </row>
    <row r="111" spans="1:23">
      <c r="A111" s="21" t="s">
        <v>358</v>
      </c>
      <c r="B111" s="31" t="s">
        <v>406</v>
      </c>
      <c r="C111" s="31" t="s">
        <v>406</v>
      </c>
      <c r="D111" s="31"/>
      <c r="E111" s="21" t="s">
        <v>71</v>
      </c>
      <c r="F111" s="21" t="s">
        <v>407</v>
      </c>
      <c r="G111" s="21"/>
      <c r="H111" s="22"/>
      <c r="I111" s="22"/>
      <c r="J111" s="22"/>
      <c r="K111" s="22"/>
      <c r="L111" s="22"/>
      <c r="M111" s="22"/>
      <c r="N111" s="22"/>
      <c r="O111" s="23">
        <v>50000</v>
      </c>
      <c r="P111" s="21"/>
      <c r="Q111" s="21"/>
      <c r="R111" s="21" t="s">
        <v>792</v>
      </c>
      <c r="S111" t="s">
        <v>1854</v>
      </c>
      <c r="T111" t="s">
        <v>542</v>
      </c>
      <c r="U111" t="s">
        <v>1805</v>
      </c>
      <c r="V111" t="s">
        <v>1855</v>
      </c>
    </row>
    <row r="112" spans="1:23">
      <c r="A112" s="21" t="s">
        <v>358</v>
      </c>
      <c r="B112" s="21" t="s">
        <v>408</v>
      </c>
      <c r="C112" s="21" t="s">
        <v>408</v>
      </c>
      <c r="D112" s="21" t="s">
        <v>360</v>
      </c>
      <c r="E112" s="21" t="s">
        <v>71</v>
      </c>
      <c r="F112" s="21" t="s">
        <v>409</v>
      </c>
      <c r="G112" s="21"/>
      <c r="H112" s="22"/>
      <c r="I112" s="22"/>
      <c r="J112" s="22"/>
      <c r="K112" s="22"/>
      <c r="L112" s="22"/>
      <c r="M112" s="22"/>
      <c r="N112" s="22"/>
      <c r="O112" s="23">
        <v>50000</v>
      </c>
      <c r="P112" s="21"/>
      <c r="Q112" s="21"/>
      <c r="R112" s="21" t="s">
        <v>792</v>
      </c>
      <c r="S112" t="s">
        <v>1856</v>
      </c>
      <c r="T112" t="s">
        <v>542</v>
      </c>
      <c r="U112" t="s">
        <v>1805</v>
      </c>
      <c r="V112" t="s">
        <v>1857</v>
      </c>
    </row>
    <row r="113" spans="1:23">
      <c r="A113" s="21" t="s">
        <v>358</v>
      </c>
      <c r="B113" s="31" t="s">
        <v>359</v>
      </c>
      <c r="C113" s="31" t="s">
        <v>359</v>
      </c>
      <c r="D113" s="21" t="s">
        <v>360</v>
      </c>
      <c r="E113" s="21" t="s">
        <v>71</v>
      </c>
      <c r="F113" s="21" t="s">
        <v>259</v>
      </c>
      <c r="G113" s="21"/>
      <c r="H113" s="22"/>
      <c r="I113" s="22"/>
      <c r="J113" s="22"/>
      <c r="K113" s="22"/>
      <c r="L113" s="22"/>
      <c r="M113" s="22"/>
      <c r="N113" s="22"/>
      <c r="O113" s="23">
        <v>20000</v>
      </c>
      <c r="P113" s="21"/>
      <c r="Q113" s="21"/>
      <c r="R113" s="21" t="s">
        <v>792</v>
      </c>
      <c r="T113" t="s">
        <v>542</v>
      </c>
      <c r="U113" t="s">
        <v>544</v>
      </c>
    </row>
    <row r="114" spans="1:23">
      <c r="A114" s="21" t="s">
        <v>358</v>
      </c>
      <c r="B114" s="31" t="s">
        <v>386</v>
      </c>
      <c r="C114" s="31" t="s">
        <v>386</v>
      </c>
      <c r="D114" s="21" t="s">
        <v>360</v>
      </c>
      <c r="E114" s="21" t="s">
        <v>71</v>
      </c>
      <c r="F114" s="21" t="s">
        <v>259</v>
      </c>
      <c r="G114" s="21"/>
      <c r="H114" s="22"/>
      <c r="I114" s="22"/>
      <c r="J114" s="22"/>
      <c r="K114" s="22"/>
      <c r="L114" s="22"/>
      <c r="M114" s="22"/>
      <c r="N114" s="22"/>
      <c r="O114" s="23">
        <v>20000</v>
      </c>
      <c r="P114" s="21"/>
      <c r="Q114" s="21"/>
      <c r="R114" s="21" t="s">
        <v>792</v>
      </c>
      <c r="T114" t="s">
        <v>542</v>
      </c>
      <c r="U114" t="s">
        <v>544</v>
      </c>
    </row>
    <row r="115" spans="1:23">
      <c r="A115" s="21" t="s">
        <v>358</v>
      </c>
      <c r="B115" s="52" t="s">
        <v>388</v>
      </c>
      <c r="C115" s="52" t="s">
        <v>388</v>
      </c>
      <c r="D115" s="31" t="s">
        <v>389</v>
      </c>
      <c r="E115" s="21" t="s">
        <v>71</v>
      </c>
      <c r="F115" s="21" t="s">
        <v>259</v>
      </c>
      <c r="G115" s="21"/>
      <c r="H115" s="22"/>
      <c r="I115" s="22"/>
      <c r="J115" s="22"/>
      <c r="K115" s="22"/>
      <c r="L115" s="22"/>
      <c r="M115" s="22"/>
      <c r="N115" s="22"/>
      <c r="O115" s="22"/>
      <c r="P115" s="21"/>
      <c r="Q115" s="21"/>
      <c r="R115" s="21" t="s">
        <v>792</v>
      </c>
      <c r="T115" t="s">
        <v>44</v>
      </c>
      <c r="U115" t="s">
        <v>44</v>
      </c>
    </row>
    <row r="116" spans="1:23">
      <c r="A116" s="21" t="s">
        <v>358</v>
      </c>
      <c r="B116" s="31" t="s">
        <v>410</v>
      </c>
      <c r="C116" s="31" t="s">
        <v>410</v>
      </c>
      <c r="D116" s="31"/>
      <c r="E116" s="21" t="s">
        <v>71</v>
      </c>
      <c r="F116" s="21" t="s">
        <v>411</v>
      </c>
      <c r="G116" s="21"/>
      <c r="H116" s="22"/>
      <c r="I116" s="22"/>
      <c r="J116" s="22"/>
      <c r="K116" s="22"/>
      <c r="L116" s="22"/>
      <c r="M116" s="22"/>
      <c r="N116" s="22"/>
      <c r="O116" s="22"/>
      <c r="P116" s="21"/>
      <c r="Q116" s="21"/>
      <c r="R116" s="21" t="s">
        <v>792</v>
      </c>
      <c r="T116" t="s">
        <v>542</v>
      </c>
      <c r="U116" t="s">
        <v>44</v>
      </c>
      <c r="V116" t="s">
        <v>172</v>
      </c>
    </row>
    <row r="117" spans="1:23">
      <c r="A117" s="21" t="s">
        <v>366</v>
      </c>
      <c r="B117" s="21" t="s">
        <v>366</v>
      </c>
      <c r="C117" s="21" t="s">
        <v>366</v>
      </c>
      <c r="D117" s="21"/>
      <c r="E117" s="21" t="s">
        <v>50</v>
      </c>
      <c r="F117" s="21" t="s">
        <v>338</v>
      </c>
      <c r="G117" s="21"/>
      <c r="H117" s="22"/>
      <c r="I117" s="22" t="s">
        <v>39</v>
      </c>
      <c r="J117" s="22"/>
      <c r="K117" s="22"/>
      <c r="L117" s="22"/>
      <c r="M117" s="22"/>
      <c r="N117" s="22"/>
      <c r="O117" s="32">
        <v>0</v>
      </c>
      <c r="P117" s="24">
        <v>0.8</v>
      </c>
      <c r="Q117" s="21"/>
      <c r="R117" s="21" t="s">
        <v>771</v>
      </c>
      <c r="U117" t="s">
        <v>44</v>
      </c>
      <c r="V117" t="s">
        <v>1858</v>
      </c>
    </row>
    <row r="118" spans="1:23">
      <c r="A118" s="42" t="s">
        <v>522</v>
      </c>
      <c r="B118" s="21"/>
      <c r="C118" s="21"/>
      <c r="D118" s="21"/>
      <c r="E118" s="21" t="s">
        <v>55</v>
      </c>
      <c r="F118" s="21" t="s">
        <v>115</v>
      </c>
      <c r="G118" s="21"/>
      <c r="H118" s="22" t="s">
        <v>39</v>
      </c>
      <c r="I118" s="22" t="s">
        <v>77</v>
      </c>
      <c r="J118" s="22" t="s">
        <v>39</v>
      </c>
      <c r="K118" s="22" t="s">
        <v>44</v>
      </c>
      <c r="L118" s="22" t="s">
        <v>78</v>
      </c>
      <c r="M118" s="22" t="s">
        <v>141</v>
      </c>
      <c r="N118" s="22" t="s">
        <v>78</v>
      </c>
      <c r="O118" s="23">
        <v>20000</v>
      </c>
      <c r="P118" s="21"/>
      <c r="Q118" s="21"/>
      <c r="R118" s="21" t="s">
        <v>726</v>
      </c>
      <c r="T118" t="s">
        <v>542</v>
      </c>
      <c r="U118" t="s">
        <v>544</v>
      </c>
    </row>
    <row r="119" spans="1:23" s="66" customFormat="1">
      <c r="A119" s="67" t="s">
        <v>308</v>
      </c>
      <c r="B119" s="67" t="s">
        <v>294</v>
      </c>
      <c r="C119" s="67" t="s">
        <v>92</v>
      </c>
      <c r="D119" s="67"/>
      <c r="E119" s="67" t="s">
        <v>295</v>
      </c>
      <c r="F119" s="67" t="s">
        <v>701</v>
      </c>
      <c r="G119" s="67" t="s">
        <v>299</v>
      </c>
      <c r="H119" s="68" t="s">
        <v>39</v>
      </c>
      <c r="I119" s="68" t="s">
        <v>39</v>
      </c>
      <c r="J119" s="68" t="s">
        <v>39</v>
      </c>
      <c r="K119" s="68" t="s">
        <v>78</v>
      </c>
      <c r="L119" s="68" t="s">
        <v>78</v>
      </c>
      <c r="M119" s="68"/>
      <c r="N119" s="68"/>
      <c r="O119" s="69">
        <v>20000</v>
      </c>
      <c r="P119" s="67"/>
      <c r="Q119" s="67"/>
      <c r="R119" s="67" t="s">
        <v>527</v>
      </c>
      <c r="S119" s="66" t="s">
        <v>545</v>
      </c>
      <c r="T119" s="66" t="s">
        <v>542</v>
      </c>
      <c r="U119" s="66" t="s">
        <v>544</v>
      </c>
      <c r="V119" s="66" t="s">
        <v>546</v>
      </c>
    </row>
    <row r="120" spans="1:23">
      <c r="A120" s="36" t="s">
        <v>136</v>
      </c>
      <c r="B120" s="36" t="s">
        <v>137</v>
      </c>
      <c r="C120" s="36" t="s">
        <v>137</v>
      </c>
      <c r="D120" s="36"/>
      <c r="E120" s="36" t="s">
        <v>55</v>
      </c>
      <c r="F120" s="36" t="s">
        <v>138</v>
      </c>
      <c r="G120" s="36"/>
      <c r="H120" s="41" t="s">
        <v>78</v>
      </c>
      <c r="I120" s="41" t="s">
        <v>78</v>
      </c>
      <c r="J120" s="41" t="s">
        <v>39</v>
      </c>
      <c r="K120" s="41" t="s">
        <v>39</v>
      </c>
      <c r="L120" s="41" t="s">
        <v>78</v>
      </c>
      <c r="M120" s="41" t="s">
        <v>78</v>
      </c>
      <c r="N120" s="41"/>
      <c r="O120" s="32">
        <v>75000</v>
      </c>
      <c r="P120" s="21"/>
      <c r="Q120" s="36" t="s">
        <v>139</v>
      </c>
      <c r="R120" s="36" t="s">
        <v>726</v>
      </c>
      <c r="S120" s="50"/>
      <c r="T120" s="50" t="s">
        <v>542</v>
      </c>
      <c r="U120" s="50" t="s">
        <v>549</v>
      </c>
      <c r="V120" s="50" t="s">
        <v>1859</v>
      </c>
      <c r="W120" s="50"/>
    </row>
    <row r="121" spans="1:23">
      <c r="A121" s="21" t="s">
        <v>136</v>
      </c>
      <c r="B121" s="31" t="s">
        <v>462</v>
      </c>
      <c r="C121" s="31" t="s">
        <v>462</v>
      </c>
      <c r="D121" s="31" t="s">
        <v>463</v>
      </c>
      <c r="E121" s="21" t="s">
        <v>71</v>
      </c>
      <c r="F121" s="21" t="s">
        <v>138</v>
      </c>
      <c r="G121" s="21"/>
      <c r="H121" s="22"/>
      <c r="I121" s="22"/>
      <c r="J121" s="22"/>
      <c r="K121" s="22"/>
      <c r="L121" s="22"/>
      <c r="M121" s="22"/>
      <c r="N121" s="22"/>
      <c r="O121" s="23">
        <v>50000</v>
      </c>
      <c r="P121" s="21"/>
      <c r="Q121" s="21"/>
      <c r="R121" s="21" t="s">
        <v>792</v>
      </c>
      <c r="T121" t="s">
        <v>542</v>
      </c>
      <c r="U121" t="s">
        <v>543</v>
      </c>
    </row>
    <row r="122" spans="1:23" s="66" customFormat="1">
      <c r="A122" s="67" t="s">
        <v>309</v>
      </c>
      <c r="B122" s="67" t="s">
        <v>294</v>
      </c>
      <c r="C122" s="67" t="s">
        <v>92</v>
      </c>
      <c r="D122" s="67"/>
      <c r="E122" s="67" t="s">
        <v>295</v>
      </c>
      <c r="F122" s="67" t="s">
        <v>701</v>
      </c>
      <c r="G122" s="67" t="s">
        <v>299</v>
      </c>
      <c r="H122" s="68" t="s">
        <v>39</v>
      </c>
      <c r="I122" s="68" t="s">
        <v>39</v>
      </c>
      <c r="J122" s="68" t="s">
        <v>39</v>
      </c>
      <c r="K122" s="68" t="s">
        <v>78</v>
      </c>
      <c r="L122" s="68" t="s">
        <v>78</v>
      </c>
      <c r="M122" s="68"/>
      <c r="N122" s="68"/>
      <c r="O122" s="69">
        <v>20000</v>
      </c>
      <c r="P122" s="67"/>
      <c r="Q122" s="67"/>
      <c r="R122" s="67" t="s">
        <v>527</v>
      </c>
      <c r="S122" s="66" t="s">
        <v>545</v>
      </c>
      <c r="T122" s="66" t="s">
        <v>542</v>
      </c>
      <c r="U122" s="66" t="s">
        <v>544</v>
      </c>
      <c r="V122" s="66" t="s">
        <v>546</v>
      </c>
    </row>
    <row r="123" spans="1:23">
      <c r="A123" s="21" t="s">
        <v>164</v>
      </c>
      <c r="B123" s="21" t="s">
        <v>165</v>
      </c>
      <c r="C123" s="21" t="s">
        <v>92</v>
      </c>
      <c r="D123" s="21"/>
      <c r="E123" s="21" t="s">
        <v>36</v>
      </c>
      <c r="F123" s="21" t="s">
        <v>166</v>
      </c>
      <c r="G123" s="21" t="s">
        <v>167</v>
      </c>
      <c r="H123" s="22" t="s">
        <v>39</v>
      </c>
      <c r="I123" s="22"/>
      <c r="J123" s="22"/>
      <c r="K123" s="22"/>
      <c r="L123" s="22"/>
      <c r="M123" s="22"/>
      <c r="N123" s="22" t="s">
        <v>40</v>
      </c>
      <c r="O123" s="23">
        <v>20000</v>
      </c>
      <c r="P123" s="21"/>
      <c r="Q123" s="21"/>
      <c r="R123" s="21" t="s">
        <v>527</v>
      </c>
      <c r="T123" t="s">
        <v>542</v>
      </c>
      <c r="U123" t="s">
        <v>544</v>
      </c>
      <c r="V123" t="s">
        <v>1860</v>
      </c>
      <c r="W123" t="s">
        <v>1831</v>
      </c>
    </row>
    <row r="124" spans="1:23">
      <c r="A124" s="21" t="s">
        <v>460</v>
      </c>
      <c r="B124" s="21" t="s">
        <v>461</v>
      </c>
      <c r="C124" s="21" t="s">
        <v>461</v>
      </c>
      <c r="D124" s="21"/>
      <c r="E124" s="21" t="s">
        <v>111</v>
      </c>
      <c r="F124" s="31" t="s">
        <v>401</v>
      </c>
      <c r="G124" s="31"/>
      <c r="H124" s="51"/>
      <c r="I124" s="22"/>
      <c r="J124" s="22"/>
      <c r="K124" s="22"/>
      <c r="L124" s="22"/>
      <c r="M124" s="22"/>
      <c r="N124" s="22"/>
      <c r="O124" s="22"/>
      <c r="P124" s="21"/>
      <c r="Q124" s="21"/>
      <c r="R124" s="21" t="s">
        <v>754</v>
      </c>
      <c r="T124" t="s">
        <v>44</v>
      </c>
      <c r="U124" t="s">
        <v>551</v>
      </c>
      <c r="V124" t="s">
        <v>1861</v>
      </c>
    </row>
    <row r="125" spans="1:23">
      <c r="A125" s="21" t="s">
        <v>378</v>
      </c>
      <c r="B125" s="21" t="s">
        <v>378</v>
      </c>
      <c r="C125" s="21" t="s">
        <v>378</v>
      </c>
      <c r="D125" s="21"/>
      <c r="E125" s="21" t="s">
        <v>50</v>
      </c>
      <c r="F125" s="21" t="s">
        <v>51</v>
      </c>
      <c r="G125" s="21"/>
      <c r="H125" s="22"/>
      <c r="I125" s="22"/>
      <c r="J125" s="22" t="s">
        <v>39</v>
      </c>
      <c r="K125" s="22"/>
      <c r="L125" s="22"/>
      <c r="M125" s="22" t="s">
        <v>39</v>
      </c>
      <c r="N125" s="22"/>
      <c r="O125" s="32">
        <v>0</v>
      </c>
      <c r="P125" s="24">
        <v>0.5</v>
      </c>
      <c r="Q125" s="21" t="s">
        <v>379</v>
      </c>
      <c r="R125" s="21" t="s">
        <v>771</v>
      </c>
      <c r="T125" t="s">
        <v>1838</v>
      </c>
      <c r="U125" t="s">
        <v>44</v>
      </c>
      <c r="V125" t="s">
        <v>1862</v>
      </c>
    </row>
    <row r="126" spans="1:23" s="5" customFormat="1">
      <c r="A126" s="36" t="s">
        <v>130</v>
      </c>
      <c r="B126" s="36" t="s">
        <v>131</v>
      </c>
      <c r="C126" s="36" t="s">
        <v>92</v>
      </c>
      <c r="D126" s="36"/>
      <c r="E126" s="36" t="s">
        <v>36</v>
      </c>
      <c r="F126" s="36" t="s">
        <v>1863</v>
      </c>
      <c r="G126" s="36" t="s">
        <v>133</v>
      </c>
      <c r="H126" s="41" t="s">
        <v>39</v>
      </c>
      <c r="I126" s="41" t="s">
        <v>78</v>
      </c>
      <c r="J126" s="41" t="s">
        <v>39</v>
      </c>
      <c r="K126" s="41" t="s">
        <v>134</v>
      </c>
      <c r="L126" s="41" t="s">
        <v>134</v>
      </c>
      <c r="M126" s="41" t="s">
        <v>39</v>
      </c>
      <c r="N126" s="41" t="s">
        <v>39</v>
      </c>
      <c r="O126" s="41"/>
      <c r="P126" s="21"/>
      <c r="Q126" s="36" t="s">
        <v>135</v>
      </c>
      <c r="R126" s="36" t="s">
        <v>527</v>
      </c>
      <c r="S126" s="50"/>
      <c r="T126" s="50" t="s">
        <v>44</v>
      </c>
      <c r="U126" s="50" t="s">
        <v>44</v>
      </c>
      <c r="V126" s="50"/>
      <c r="W126" s="50" t="s">
        <v>1820</v>
      </c>
    </row>
    <row r="127" spans="1:23" s="5" customFormat="1">
      <c r="A127" s="21" t="s">
        <v>383</v>
      </c>
      <c r="B127" s="21" t="s">
        <v>383</v>
      </c>
      <c r="C127" s="21" t="s">
        <v>383</v>
      </c>
      <c r="D127" s="21"/>
      <c r="E127" s="21" t="s">
        <v>50</v>
      </c>
      <c r="F127" s="21" t="s">
        <v>51</v>
      </c>
      <c r="G127" s="21"/>
      <c r="H127" s="22"/>
      <c r="I127" s="22"/>
      <c r="J127" s="22"/>
      <c r="K127" s="22"/>
      <c r="L127" s="22"/>
      <c r="M127" s="22"/>
      <c r="N127" s="22"/>
      <c r="O127" s="23">
        <v>20000</v>
      </c>
      <c r="P127" s="24">
        <v>0.5</v>
      </c>
      <c r="Q127" s="21" t="s">
        <v>384</v>
      </c>
      <c r="R127" s="21" t="s">
        <v>771</v>
      </c>
      <c r="S127"/>
      <c r="T127" t="s">
        <v>542</v>
      </c>
      <c r="U127" t="s">
        <v>544</v>
      </c>
      <c r="V127"/>
      <c r="W127"/>
    </row>
    <row r="128" spans="1:23" s="5" customFormat="1">
      <c r="A128" s="21" t="s">
        <v>385</v>
      </c>
      <c r="B128" s="21" t="s">
        <v>385</v>
      </c>
      <c r="C128" s="21" t="s">
        <v>385</v>
      </c>
      <c r="D128" s="21"/>
      <c r="E128" s="21" t="s">
        <v>50</v>
      </c>
      <c r="F128" s="21" t="s">
        <v>51</v>
      </c>
      <c r="G128" s="21"/>
      <c r="H128" s="22"/>
      <c r="I128" s="22"/>
      <c r="J128" s="22" t="s">
        <v>39</v>
      </c>
      <c r="K128" s="22"/>
      <c r="L128" s="22"/>
      <c r="M128" s="22" t="s">
        <v>39</v>
      </c>
      <c r="N128" s="22"/>
      <c r="O128" s="23">
        <v>20000</v>
      </c>
      <c r="P128" s="24">
        <v>0.5</v>
      </c>
      <c r="Q128" s="21" t="s">
        <v>256</v>
      </c>
      <c r="R128" s="21" t="s">
        <v>771</v>
      </c>
      <c r="S128"/>
      <c r="T128" t="s">
        <v>542</v>
      </c>
      <c r="U128" t="s">
        <v>544</v>
      </c>
      <c r="V128" t="s">
        <v>1864</v>
      </c>
      <c r="W128"/>
    </row>
    <row r="129" spans="1:23" s="66" customFormat="1">
      <c r="A129" s="67" t="s">
        <v>310</v>
      </c>
      <c r="B129" s="67" t="s">
        <v>294</v>
      </c>
      <c r="C129" s="67" t="s">
        <v>92</v>
      </c>
      <c r="D129" s="67"/>
      <c r="E129" s="67" t="s">
        <v>295</v>
      </c>
      <c r="F129" s="67" t="s">
        <v>701</v>
      </c>
      <c r="G129" s="67" t="s">
        <v>299</v>
      </c>
      <c r="H129" s="68" t="s">
        <v>39</v>
      </c>
      <c r="I129" s="68" t="s">
        <v>39</v>
      </c>
      <c r="J129" s="68" t="s">
        <v>39</v>
      </c>
      <c r="K129" s="68" t="s">
        <v>78</v>
      </c>
      <c r="L129" s="68" t="s">
        <v>78</v>
      </c>
      <c r="M129" s="68"/>
      <c r="N129" s="68"/>
      <c r="O129" s="69">
        <v>20000</v>
      </c>
      <c r="P129" s="67"/>
      <c r="Q129" s="67"/>
      <c r="R129" s="67" t="s">
        <v>527</v>
      </c>
      <c r="S129" s="66" t="s">
        <v>545</v>
      </c>
      <c r="T129" s="66" t="s">
        <v>542</v>
      </c>
      <c r="U129" s="66" t="s">
        <v>544</v>
      </c>
      <c r="V129" s="66" t="s">
        <v>546</v>
      </c>
    </row>
    <row r="130" spans="1:23" s="66" customFormat="1">
      <c r="A130" s="67" t="s">
        <v>311</v>
      </c>
      <c r="B130" s="67" t="s">
        <v>294</v>
      </c>
      <c r="C130" s="67" t="s">
        <v>92</v>
      </c>
      <c r="D130" s="67"/>
      <c r="E130" s="67" t="s">
        <v>295</v>
      </c>
      <c r="F130" s="67" t="s">
        <v>701</v>
      </c>
      <c r="G130" s="67" t="s">
        <v>299</v>
      </c>
      <c r="H130" s="68" t="s">
        <v>39</v>
      </c>
      <c r="I130" s="68" t="s">
        <v>39</v>
      </c>
      <c r="J130" s="68" t="s">
        <v>39</v>
      </c>
      <c r="K130" s="68" t="s">
        <v>78</v>
      </c>
      <c r="L130" s="68" t="s">
        <v>78</v>
      </c>
      <c r="M130" s="68"/>
      <c r="N130" s="68"/>
      <c r="O130" s="69">
        <v>20000</v>
      </c>
      <c r="P130" s="67"/>
      <c r="Q130" s="67"/>
      <c r="R130" s="67" t="s">
        <v>527</v>
      </c>
      <c r="S130" s="66" t="s">
        <v>545</v>
      </c>
      <c r="T130" s="66" t="s">
        <v>542</v>
      </c>
      <c r="U130" s="66" t="s">
        <v>544</v>
      </c>
      <c r="V130" s="66" t="s">
        <v>546</v>
      </c>
    </row>
    <row r="131" spans="1:23" s="66" customFormat="1">
      <c r="A131" s="67" t="s">
        <v>312</v>
      </c>
      <c r="B131" s="67" t="s">
        <v>294</v>
      </c>
      <c r="C131" s="67" t="s">
        <v>92</v>
      </c>
      <c r="D131" s="67"/>
      <c r="E131" s="67" t="s">
        <v>295</v>
      </c>
      <c r="F131" s="67" t="s">
        <v>701</v>
      </c>
      <c r="G131" s="67" t="s">
        <v>299</v>
      </c>
      <c r="H131" s="68" t="s">
        <v>39</v>
      </c>
      <c r="I131" s="68" t="s">
        <v>39</v>
      </c>
      <c r="J131" s="68" t="s">
        <v>39</v>
      </c>
      <c r="K131" s="68" t="s">
        <v>78</v>
      </c>
      <c r="L131" s="68" t="s">
        <v>78</v>
      </c>
      <c r="M131" s="68"/>
      <c r="N131" s="68"/>
      <c r="O131" s="69">
        <v>20000</v>
      </c>
      <c r="P131" s="67"/>
      <c r="Q131" s="67"/>
      <c r="R131" s="67" t="s">
        <v>527</v>
      </c>
      <c r="S131" s="66" t="s">
        <v>545</v>
      </c>
      <c r="T131" s="66" t="s">
        <v>542</v>
      </c>
      <c r="U131" s="66" t="s">
        <v>544</v>
      </c>
      <c r="V131" s="66" t="s">
        <v>546</v>
      </c>
    </row>
    <row r="132" spans="1:23">
      <c r="A132" s="21" t="s">
        <v>158</v>
      </c>
      <c r="B132" s="21" t="s">
        <v>159</v>
      </c>
      <c r="C132" s="21" t="s">
        <v>160</v>
      </c>
      <c r="D132" s="21"/>
      <c r="E132" s="21" t="s">
        <v>161</v>
      </c>
      <c r="F132" s="21" t="s">
        <v>1865</v>
      </c>
      <c r="G132" s="21" t="s">
        <v>44</v>
      </c>
      <c r="H132" s="22" t="s">
        <v>44</v>
      </c>
      <c r="I132" s="22"/>
      <c r="J132" s="22"/>
      <c r="K132" s="22"/>
      <c r="L132" s="22"/>
      <c r="M132" s="22"/>
      <c r="N132" s="22"/>
      <c r="O132" s="22"/>
      <c r="P132" s="21"/>
      <c r="Q132" s="21" t="s">
        <v>163</v>
      </c>
      <c r="R132" s="21" t="s">
        <v>527</v>
      </c>
      <c r="T132" t="s">
        <v>44</v>
      </c>
      <c r="U132" t="s">
        <v>44</v>
      </c>
      <c r="V132" t="s">
        <v>1866</v>
      </c>
    </row>
    <row r="133" spans="1:23">
      <c r="A133" s="21" t="s">
        <v>240</v>
      </c>
      <c r="B133" s="21" t="s">
        <v>223</v>
      </c>
      <c r="C133" s="21" t="s">
        <v>223</v>
      </c>
      <c r="D133" s="21" t="s">
        <v>224</v>
      </c>
      <c r="E133" s="21" t="s">
        <v>60</v>
      </c>
      <c r="F133" s="21" t="s">
        <v>225</v>
      </c>
      <c r="G133" s="21" t="s">
        <v>62</v>
      </c>
      <c r="H133" s="22" t="s">
        <v>78</v>
      </c>
      <c r="I133" s="22" t="s">
        <v>63</v>
      </c>
      <c r="J133" s="22" t="s">
        <v>226</v>
      </c>
      <c r="K133" s="22" t="s">
        <v>227</v>
      </c>
      <c r="L133" s="22" t="s">
        <v>227</v>
      </c>
      <c r="M133" s="22" t="s">
        <v>227</v>
      </c>
      <c r="N133" s="22" t="s">
        <v>227</v>
      </c>
      <c r="O133" s="23">
        <v>20000</v>
      </c>
      <c r="P133" s="24">
        <v>0.9</v>
      </c>
      <c r="Q133" s="21" t="s">
        <v>228</v>
      </c>
      <c r="R133" s="21" t="s">
        <v>788</v>
      </c>
      <c r="T133" t="s">
        <v>542</v>
      </c>
      <c r="U133" t="s">
        <v>1800</v>
      </c>
      <c r="V133" t="s">
        <v>1801</v>
      </c>
    </row>
    <row r="134" spans="1:23">
      <c r="A134" s="21" t="s">
        <v>241</v>
      </c>
      <c r="B134" s="21" t="s">
        <v>223</v>
      </c>
      <c r="C134" s="21" t="s">
        <v>223</v>
      </c>
      <c r="D134" s="21" t="s">
        <v>224</v>
      </c>
      <c r="E134" s="21" t="s">
        <v>60</v>
      </c>
      <c r="F134" s="21" t="s">
        <v>225</v>
      </c>
      <c r="G134" s="21" t="s">
        <v>62</v>
      </c>
      <c r="H134" s="22" t="s">
        <v>78</v>
      </c>
      <c r="I134" s="22" t="s">
        <v>63</v>
      </c>
      <c r="J134" s="22" t="s">
        <v>226</v>
      </c>
      <c r="K134" s="22" t="s">
        <v>227</v>
      </c>
      <c r="L134" s="22" t="s">
        <v>227</v>
      </c>
      <c r="M134" s="22" t="s">
        <v>227</v>
      </c>
      <c r="N134" s="22" t="s">
        <v>227</v>
      </c>
      <c r="O134" s="23">
        <v>20000</v>
      </c>
      <c r="P134" s="24">
        <v>0.9</v>
      </c>
      <c r="Q134" s="21" t="s">
        <v>228</v>
      </c>
      <c r="R134" s="21" t="s">
        <v>788</v>
      </c>
      <c r="T134" t="s">
        <v>542</v>
      </c>
      <c r="U134" t="s">
        <v>1800</v>
      </c>
      <c r="V134" t="s">
        <v>1801</v>
      </c>
    </row>
    <row r="135" spans="1:23" s="66" customFormat="1">
      <c r="A135" s="67" t="s">
        <v>313</v>
      </c>
      <c r="B135" s="67" t="s">
        <v>294</v>
      </c>
      <c r="C135" s="67" t="s">
        <v>92</v>
      </c>
      <c r="D135" s="67"/>
      <c r="E135" s="67" t="s">
        <v>295</v>
      </c>
      <c r="F135" s="67" t="s">
        <v>701</v>
      </c>
      <c r="G135" s="67" t="s">
        <v>299</v>
      </c>
      <c r="H135" s="68" t="s">
        <v>39</v>
      </c>
      <c r="I135" s="68" t="s">
        <v>39</v>
      </c>
      <c r="J135" s="68" t="s">
        <v>39</v>
      </c>
      <c r="K135" s="68" t="s">
        <v>78</v>
      </c>
      <c r="L135" s="68" t="s">
        <v>78</v>
      </c>
      <c r="M135" s="68"/>
      <c r="N135" s="68"/>
      <c r="O135" s="69">
        <v>20000</v>
      </c>
      <c r="P135" s="67"/>
      <c r="Q135" s="67"/>
      <c r="R135" s="67" t="s">
        <v>527</v>
      </c>
      <c r="S135" s="66" t="s">
        <v>545</v>
      </c>
      <c r="T135" s="66" t="s">
        <v>542</v>
      </c>
      <c r="U135" s="66" t="s">
        <v>544</v>
      </c>
      <c r="V135" s="66" t="s">
        <v>546</v>
      </c>
    </row>
    <row r="136" spans="1:23" s="66" customFormat="1">
      <c r="A136" s="67" t="s">
        <v>314</v>
      </c>
      <c r="B136" s="67" t="s">
        <v>294</v>
      </c>
      <c r="C136" s="67" t="s">
        <v>92</v>
      </c>
      <c r="D136" s="67"/>
      <c r="E136" s="67" t="s">
        <v>295</v>
      </c>
      <c r="F136" s="67" t="s">
        <v>701</v>
      </c>
      <c r="G136" s="67" t="s">
        <v>299</v>
      </c>
      <c r="H136" s="68" t="s">
        <v>39</v>
      </c>
      <c r="I136" s="68" t="s">
        <v>39</v>
      </c>
      <c r="J136" s="68" t="s">
        <v>39</v>
      </c>
      <c r="K136" s="68" t="s">
        <v>78</v>
      </c>
      <c r="L136" s="68" t="s">
        <v>78</v>
      </c>
      <c r="M136" s="68"/>
      <c r="N136" s="68"/>
      <c r="O136" s="69">
        <v>20000</v>
      </c>
      <c r="P136" s="67"/>
      <c r="Q136" s="67"/>
      <c r="R136" s="67" t="s">
        <v>527</v>
      </c>
      <c r="S136" s="66" t="s">
        <v>545</v>
      </c>
      <c r="T136" s="66" t="s">
        <v>542</v>
      </c>
      <c r="U136" s="66" t="s">
        <v>544</v>
      </c>
      <c r="V136" s="66" t="s">
        <v>546</v>
      </c>
    </row>
    <row r="137" spans="1:23" s="66" customFormat="1">
      <c r="A137" s="67" t="s">
        <v>702</v>
      </c>
      <c r="B137" s="67" t="s">
        <v>294</v>
      </c>
      <c r="C137" s="67" t="s">
        <v>92</v>
      </c>
      <c r="D137" s="67"/>
      <c r="E137" s="67" t="s">
        <v>295</v>
      </c>
      <c r="F137" s="67" t="s">
        <v>701</v>
      </c>
      <c r="G137" s="67" t="s">
        <v>299</v>
      </c>
      <c r="H137" s="68" t="s">
        <v>39</v>
      </c>
      <c r="I137" s="68" t="s">
        <v>39</v>
      </c>
      <c r="J137" s="68" t="s">
        <v>39</v>
      </c>
      <c r="K137" s="68" t="s">
        <v>78</v>
      </c>
      <c r="L137" s="68" t="s">
        <v>78</v>
      </c>
      <c r="M137" s="68"/>
      <c r="N137" s="68"/>
      <c r="O137" s="69">
        <v>20000</v>
      </c>
      <c r="P137" s="67"/>
      <c r="Q137" s="67"/>
      <c r="R137" s="67" t="s">
        <v>527</v>
      </c>
      <c r="S137" s="66" t="s">
        <v>545</v>
      </c>
      <c r="T137" s="66" t="s">
        <v>542</v>
      </c>
      <c r="U137" s="66" t="s">
        <v>544</v>
      </c>
      <c r="V137" s="66" t="s">
        <v>546</v>
      </c>
    </row>
    <row r="138" spans="1:23">
      <c r="A138" s="21" t="s">
        <v>399</v>
      </c>
      <c r="B138" s="21" t="s">
        <v>400</v>
      </c>
      <c r="C138" s="21" t="s">
        <v>400</v>
      </c>
      <c r="D138" s="21"/>
      <c r="E138" s="21" t="s">
        <v>111</v>
      </c>
      <c r="F138" s="31" t="s">
        <v>401</v>
      </c>
      <c r="G138" s="31"/>
      <c r="H138" s="51"/>
      <c r="I138" s="22"/>
      <c r="J138" s="22"/>
      <c r="K138" s="22"/>
      <c r="L138" s="22"/>
      <c r="M138" s="22"/>
      <c r="N138" s="22"/>
      <c r="O138" s="32">
        <v>75000</v>
      </c>
      <c r="P138" s="21"/>
      <c r="Q138" s="21"/>
      <c r="R138" s="21" t="s">
        <v>754</v>
      </c>
      <c r="T138" t="s">
        <v>542</v>
      </c>
      <c r="U138" t="s">
        <v>549</v>
      </c>
    </row>
    <row r="139" spans="1:23">
      <c r="A139" s="21" t="s">
        <v>90</v>
      </c>
      <c r="B139" s="21" t="s">
        <v>91</v>
      </c>
      <c r="C139" s="21" t="s">
        <v>92</v>
      </c>
      <c r="D139" s="21"/>
      <c r="E139" s="21" t="s">
        <v>36</v>
      </c>
      <c r="F139" s="21" t="s">
        <v>1867</v>
      </c>
      <c r="G139" s="21" t="s">
        <v>94</v>
      </c>
      <c r="H139" s="22" t="s">
        <v>39</v>
      </c>
      <c r="I139" s="22"/>
      <c r="J139" s="22"/>
      <c r="K139" s="22"/>
      <c r="L139" s="22"/>
      <c r="M139" s="22"/>
      <c r="N139" s="22"/>
      <c r="O139" s="23">
        <v>20000</v>
      </c>
      <c r="P139" s="21"/>
      <c r="Q139" s="21" t="s">
        <v>95</v>
      </c>
      <c r="R139" s="21" t="s">
        <v>527</v>
      </c>
      <c r="T139" t="s">
        <v>542</v>
      </c>
      <c r="U139" t="s">
        <v>544</v>
      </c>
      <c r="W139" t="s">
        <v>1820</v>
      </c>
    </row>
    <row r="140" spans="1:23">
      <c r="A140" s="21" t="s">
        <v>490</v>
      </c>
      <c r="B140" s="21" t="s">
        <v>491</v>
      </c>
      <c r="C140" s="21" t="s">
        <v>92</v>
      </c>
      <c r="D140" s="21"/>
      <c r="E140" s="21" t="s">
        <v>161</v>
      </c>
      <c r="F140" s="21" t="s">
        <v>1826</v>
      </c>
      <c r="G140" s="21" t="s">
        <v>493</v>
      </c>
      <c r="H140" s="22" t="s">
        <v>39</v>
      </c>
      <c r="I140" s="22" t="s">
        <v>62</v>
      </c>
      <c r="J140" s="22" t="s">
        <v>40</v>
      </c>
      <c r="K140" s="22"/>
      <c r="L140" s="22" t="s">
        <v>39</v>
      </c>
      <c r="M140" s="22" t="s">
        <v>39</v>
      </c>
      <c r="N140" s="22" t="s">
        <v>39</v>
      </c>
      <c r="O140" s="23">
        <v>20000</v>
      </c>
      <c r="P140" s="21"/>
      <c r="Q140" s="21" t="s">
        <v>494</v>
      </c>
      <c r="R140" s="21" t="s">
        <v>527</v>
      </c>
      <c r="T140" t="s">
        <v>542</v>
      </c>
      <c r="U140" t="s">
        <v>544</v>
      </c>
      <c r="W140" t="s">
        <v>1831</v>
      </c>
    </row>
    <row r="141" spans="1:23">
      <c r="A141" s="21" t="s">
        <v>514</v>
      </c>
      <c r="B141" s="21" t="s">
        <v>515</v>
      </c>
      <c r="C141" s="21" t="s">
        <v>516</v>
      </c>
      <c r="D141" s="21"/>
      <c r="E141" s="21" t="s">
        <v>55</v>
      </c>
      <c r="F141" s="21" t="s">
        <v>138</v>
      </c>
      <c r="G141" s="21"/>
      <c r="H141" s="22" t="s">
        <v>78</v>
      </c>
      <c r="I141" s="22" t="s">
        <v>78</v>
      </c>
      <c r="J141" s="22" t="s">
        <v>39</v>
      </c>
      <c r="K141" s="22" t="s">
        <v>39</v>
      </c>
      <c r="L141" s="22"/>
      <c r="M141" s="22" t="s">
        <v>39</v>
      </c>
      <c r="N141" s="22"/>
      <c r="O141" s="32">
        <v>75000</v>
      </c>
      <c r="P141" s="21"/>
      <c r="Q141" s="21"/>
      <c r="R141" s="21" t="s">
        <v>726</v>
      </c>
      <c r="T141" t="s">
        <v>542</v>
      </c>
      <c r="U141" t="s">
        <v>549</v>
      </c>
      <c r="V141" t="s">
        <v>1868</v>
      </c>
    </row>
    <row r="142" spans="1:23">
      <c r="A142" s="21" t="s">
        <v>412</v>
      </c>
      <c r="B142" s="31" t="s">
        <v>413</v>
      </c>
      <c r="C142" s="31" t="s">
        <v>413</v>
      </c>
      <c r="D142" s="31" t="s">
        <v>350</v>
      </c>
      <c r="E142" s="21" t="s">
        <v>71</v>
      </c>
      <c r="F142" s="21" t="s">
        <v>259</v>
      </c>
      <c r="G142" s="21"/>
      <c r="H142" s="22"/>
      <c r="I142" s="22"/>
      <c r="J142" s="22"/>
      <c r="K142" s="22"/>
      <c r="L142" s="22"/>
      <c r="M142" s="22"/>
      <c r="N142" s="22"/>
      <c r="O142" s="22"/>
      <c r="P142" s="21"/>
      <c r="Q142" s="21"/>
      <c r="R142" s="21" t="s">
        <v>792</v>
      </c>
      <c r="T142" t="s">
        <v>542</v>
      </c>
      <c r="U142" t="s">
        <v>44</v>
      </c>
      <c r="V142" t="s">
        <v>1869</v>
      </c>
    </row>
    <row r="143" spans="1:23">
      <c r="A143" s="21" t="s">
        <v>412</v>
      </c>
      <c r="B143" s="31" t="s">
        <v>414</v>
      </c>
      <c r="C143" s="31" t="s">
        <v>414</v>
      </c>
      <c r="D143" s="31" t="s">
        <v>350</v>
      </c>
      <c r="E143" s="21" t="s">
        <v>71</v>
      </c>
      <c r="F143" s="21" t="s">
        <v>259</v>
      </c>
      <c r="G143" s="21"/>
      <c r="H143" s="22"/>
      <c r="I143" s="22"/>
      <c r="J143" s="22"/>
      <c r="K143" s="22"/>
      <c r="L143" s="22"/>
      <c r="M143" s="22"/>
      <c r="N143" s="22"/>
      <c r="O143" s="22"/>
      <c r="P143" s="21"/>
      <c r="Q143" s="21"/>
      <c r="R143" s="21" t="s">
        <v>792</v>
      </c>
      <c r="T143" t="s">
        <v>542</v>
      </c>
      <c r="U143" t="s">
        <v>44</v>
      </c>
      <c r="V143" t="s">
        <v>1869</v>
      </c>
    </row>
    <row r="144" spans="1:23">
      <c r="A144" s="21" t="s">
        <v>412</v>
      </c>
      <c r="B144" s="31" t="s">
        <v>511</v>
      </c>
      <c r="C144" s="31" t="s">
        <v>511</v>
      </c>
      <c r="D144" s="31" t="s">
        <v>100</v>
      </c>
      <c r="E144" s="21" t="s">
        <v>71</v>
      </c>
      <c r="F144" s="21" t="s">
        <v>259</v>
      </c>
      <c r="G144" s="21"/>
      <c r="H144" s="22"/>
      <c r="I144" s="22"/>
      <c r="J144" s="22"/>
      <c r="K144" s="22"/>
      <c r="L144" s="22"/>
      <c r="M144" s="22"/>
      <c r="N144" s="22"/>
      <c r="O144" s="32">
        <v>75000</v>
      </c>
      <c r="P144" s="21"/>
      <c r="Q144" s="21"/>
      <c r="R144" s="21" t="s">
        <v>792</v>
      </c>
      <c r="T144" t="s">
        <v>542</v>
      </c>
      <c r="U144" t="s">
        <v>549</v>
      </c>
      <c r="V144" t="s">
        <v>1870</v>
      </c>
    </row>
    <row r="145" spans="1:23">
      <c r="A145" s="21" t="s">
        <v>497</v>
      </c>
      <c r="B145" s="21" t="s">
        <v>498</v>
      </c>
      <c r="C145" s="21"/>
      <c r="D145" s="21"/>
      <c r="E145" s="21" t="s">
        <v>326</v>
      </c>
      <c r="F145" s="21" t="s">
        <v>327</v>
      </c>
      <c r="G145" s="21" t="s">
        <v>499</v>
      </c>
      <c r="H145" s="22" t="s">
        <v>39</v>
      </c>
      <c r="I145" s="22"/>
      <c r="J145" s="22"/>
      <c r="K145" s="22"/>
      <c r="L145" s="22"/>
      <c r="M145" s="22"/>
      <c r="N145" s="22" t="s">
        <v>40</v>
      </c>
      <c r="O145" s="23">
        <v>500000</v>
      </c>
      <c r="P145" s="21"/>
      <c r="Q145" s="21"/>
      <c r="R145" s="21" t="s">
        <v>527</v>
      </c>
      <c r="T145" t="s">
        <v>542</v>
      </c>
      <c r="U145" t="s">
        <v>555</v>
      </c>
      <c r="V145" t="s">
        <v>1871</v>
      </c>
      <c r="W145" t="s">
        <v>1872</v>
      </c>
    </row>
    <row r="146" spans="1:23">
      <c r="A146" s="21" t="s">
        <v>420</v>
      </c>
      <c r="B146" s="21" t="s">
        <v>420</v>
      </c>
      <c r="C146" s="21" t="s">
        <v>420</v>
      </c>
      <c r="D146" s="21"/>
      <c r="E146" s="21" t="s">
        <v>50</v>
      </c>
      <c r="F146" s="21" t="s">
        <v>421</v>
      </c>
      <c r="G146" s="21"/>
      <c r="H146" s="22"/>
      <c r="I146" s="22"/>
      <c r="J146" s="22" t="s">
        <v>39</v>
      </c>
      <c r="K146" s="22"/>
      <c r="L146" s="22"/>
      <c r="M146" s="22" t="s">
        <v>39</v>
      </c>
      <c r="N146" s="22"/>
      <c r="O146" s="32">
        <v>0</v>
      </c>
      <c r="P146" s="24">
        <v>0.9</v>
      </c>
      <c r="Q146" s="21"/>
      <c r="R146" s="21" t="s">
        <v>771</v>
      </c>
      <c r="T146" t="s">
        <v>44</v>
      </c>
      <c r="U146" t="s">
        <v>551</v>
      </c>
      <c r="V146" t="s">
        <v>1873</v>
      </c>
    </row>
    <row r="147" spans="1:23">
      <c r="A147" s="21" t="s">
        <v>242</v>
      </c>
      <c r="B147" s="21" t="s">
        <v>223</v>
      </c>
      <c r="C147" s="21" t="s">
        <v>223</v>
      </c>
      <c r="D147" s="21" t="s">
        <v>224</v>
      </c>
      <c r="E147" s="21" t="s">
        <v>60</v>
      </c>
      <c r="F147" s="21" t="s">
        <v>225</v>
      </c>
      <c r="G147" s="21" t="s">
        <v>62</v>
      </c>
      <c r="H147" s="22" t="s">
        <v>78</v>
      </c>
      <c r="I147" s="22" t="s">
        <v>63</v>
      </c>
      <c r="J147" s="22" t="s">
        <v>226</v>
      </c>
      <c r="K147" s="22" t="s">
        <v>227</v>
      </c>
      <c r="L147" s="22" t="s">
        <v>227</v>
      </c>
      <c r="M147" s="22" t="s">
        <v>227</v>
      </c>
      <c r="N147" s="22" t="s">
        <v>227</v>
      </c>
      <c r="O147" s="23">
        <v>20000</v>
      </c>
      <c r="P147" s="24">
        <v>0.9</v>
      </c>
      <c r="Q147" s="21" t="s">
        <v>228</v>
      </c>
      <c r="R147" s="21" t="s">
        <v>788</v>
      </c>
      <c r="T147" t="s">
        <v>542</v>
      </c>
      <c r="U147" t="s">
        <v>1800</v>
      </c>
      <c r="V147" t="s">
        <v>1801</v>
      </c>
    </row>
    <row r="148" spans="1:23">
      <c r="A148" s="21" t="s">
        <v>390</v>
      </c>
      <c r="B148" s="21" t="s">
        <v>391</v>
      </c>
      <c r="C148" s="21"/>
      <c r="D148" s="21"/>
      <c r="E148" s="21" t="s">
        <v>161</v>
      </c>
      <c r="F148" s="21" t="s">
        <v>392</v>
      </c>
      <c r="G148" s="21" t="s">
        <v>393</v>
      </c>
      <c r="H148" s="22" t="s">
        <v>39</v>
      </c>
      <c r="I148" s="22"/>
      <c r="J148" s="22"/>
      <c r="K148" s="22"/>
      <c r="L148" s="22"/>
      <c r="M148" s="22"/>
      <c r="N148" s="22"/>
      <c r="O148" s="23">
        <v>20000</v>
      </c>
      <c r="P148" s="21"/>
      <c r="Q148" s="21"/>
      <c r="R148" s="21" t="s">
        <v>527</v>
      </c>
      <c r="T148" t="s">
        <v>542</v>
      </c>
      <c r="U148" t="s">
        <v>544</v>
      </c>
      <c r="W148" t="s">
        <v>1820</v>
      </c>
    </row>
    <row r="149" spans="1:23">
      <c r="A149" s="21" t="s">
        <v>451</v>
      </c>
      <c r="B149" s="21" t="s">
        <v>1874</v>
      </c>
      <c r="C149" s="21" t="s">
        <v>92</v>
      </c>
      <c r="D149" s="21"/>
      <c r="E149" s="21" t="s">
        <v>152</v>
      </c>
      <c r="F149" s="21" t="s">
        <v>1875</v>
      </c>
      <c r="G149" s="21" t="s">
        <v>454</v>
      </c>
      <c r="H149" s="22" t="s">
        <v>39</v>
      </c>
      <c r="I149" s="22" t="s">
        <v>155</v>
      </c>
      <c r="J149" s="22" t="s">
        <v>40</v>
      </c>
      <c r="K149" s="22"/>
      <c r="L149" s="22"/>
      <c r="M149" s="22"/>
      <c r="N149" s="22" t="s">
        <v>40</v>
      </c>
      <c r="O149" s="23">
        <v>20000</v>
      </c>
      <c r="P149" s="21"/>
      <c r="Q149" s="21" t="s">
        <v>455</v>
      </c>
      <c r="R149" s="21" t="s">
        <v>527</v>
      </c>
      <c r="T149" t="s">
        <v>542</v>
      </c>
      <c r="U149" t="s">
        <v>544</v>
      </c>
      <c r="W149" t="s">
        <v>1831</v>
      </c>
    </row>
    <row r="150" spans="1:23" s="66" customFormat="1">
      <c r="A150" s="67" t="s">
        <v>316</v>
      </c>
      <c r="B150" s="67" t="s">
        <v>294</v>
      </c>
      <c r="C150" s="67" t="s">
        <v>92</v>
      </c>
      <c r="D150" s="67"/>
      <c r="E150" s="67" t="s">
        <v>295</v>
      </c>
      <c r="F150" s="67" t="s">
        <v>701</v>
      </c>
      <c r="G150" s="67" t="s">
        <v>299</v>
      </c>
      <c r="H150" s="68" t="s">
        <v>39</v>
      </c>
      <c r="I150" s="68" t="s">
        <v>39</v>
      </c>
      <c r="J150" s="68" t="s">
        <v>39</v>
      </c>
      <c r="K150" s="68" t="s">
        <v>78</v>
      </c>
      <c r="L150" s="68" t="s">
        <v>78</v>
      </c>
      <c r="M150" s="68"/>
      <c r="N150" s="68"/>
      <c r="O150" s="69">
        <v>20000</v>
      </c>
      <c r="P150" s="67"/>
      <c r="Q150" s="67"/>
      <c r="R150" s="67" t="s">
        <v>527</v>
      </c>
      <c r="S150" s="66" t="s">
        <v>545</v>
      </c>
      <c r="T150" s="66" t="s">
        <v>542</v>
      </c>
      <c r="U150" s="66" t="s">
        <v>544</v>
      </c>
      <c r="V150" s="66" t="s">
        <v>546</v>
      </c>
    </row>
    <row r="151" spans="1:23">
      <c r="A151" s="21" t="s">
        <v>444</v>
      </c>
      <c r="B151" s="21" t="s">
        <v>444</v>
      </c>
      <c r="C151" s="21" t="s">
        <v>444</v>
      </c>
      <c r="D151" s="21"/>
      <c r="E151" s="21" t="s">
        <v>50</v>
      </c>
      <c r="F151" s="21" t="s">
        <v>51</v>
      </c>
      <c r="G151" s="21"/>
      <c r="H151" s="22"/>
      <c r="I151" s="22"/>
      <c r="J151" s="22" t="s">
        <v>39</v>
      </c>
      <c r="K151" s="22"/>
      <c r="L151" s="22"/>
      <c r="M151" s="22" t="s">
        <v>39</v>
      </c>
      <c r="N151" s="22"/>
      <c r="O151" s="23">
        <v>20000</v>
      </c>
      <c r="P151" s="24">
        <v>0.5</v>
      </c>
      <c r="Q151" s="21" t="s">
        <v>445</v>
      </c>
      <c r="R151" s="21" t="s">
        <v>771</v>
      </c>
      <c r="T151" t="s">
        <v>542</v>
      </c>
      <c r="U151" t="s">
        <v>544</v>
      </c>
      <c r="V151" t="s">
        <v>1876</v>
      </c>
    </row>
    <row r="152" spans="1:23">
      <c r="A152" s="21" t="s">
        <v>446</v>
      </c>
      <c r="B152" s="21" t="s">
        <v>446</v>
      </c>
      <c r="C152" s="21" t="s">
        <v>446</v>
      </c>
      <c r="D152" s="21"/>
      <c r="E152" s="21" t="s">
        <v>50</v>
      </c>
      <c r="F152" s="21" t="s">
        <v>51</v>
      </c>
      <c r="G152" s="21"/>
      <c r="H152" s="22"/>
      <c r="I152" s="22"/>
      <c r="J152" s="22" t="s">
        <v>39</v>
      </c>
      <c r="K152" s="22"/>
      <c r="L152" s="22"/>
      <c r="M152" s="22" t="s">
        <v>39</v>
      </c>
      <c r="N152" s="22"/>
      <c r="O152" s="23">
        <v>20000</v>
      </c>
      <c r="P152" s="24">
        <v>0.5</v>
      </c>
      <c r="Q152" s="21" t="s">
        <v>447</v>
      </c>
      <c r="R152" s="21" t="s">
        <v>771</v>
      </c>
      <c r="T152" t="s">
        <v>542</v>
      </c>
      <c r="U152" t="s">
        <v>544</v>
      </c>
    </row>
    <row r="153" spans="1:23">
      <c r="A153" s="30" t="s">
        <v>482</v>
      </c>
      <c r="B153" s="54" t="s">
        <v>483</v>
      </c>
      <c r="C153" s="54" t="s">
        <v>483</v>
      </c>
      <c r="D153" s="54" t="s">
        <v>484</v>
      </c>
      <c r="E153" s="21" t="s">
        <v>71</v>
      </c>
      <c r="F153" s="30" t="s">
        <v>485</v>
      </c>
      <c r="G153" s="30"/>
      <c r="H153" s="53"/>
      <c r="I153" s="22"/>
      <c r="J153" s="22"/>
      <c r="K153" s="22"/>
      <c r="L153" s="22"/>
      <c r="M153" s="22"/>
      <c r="N153" s="22"/>
      <c r="O153" s="23">
        <v>20000</v>
      </c>
      <c r="P153" s="21"/>
      <c r="Q153" s="21"/>
      <c r="R153" s="21" t="s">
        <v>792</v>
      </c>
      <c r="T153" t="s">
        <v>542</v>
      </c>
      <c r="U153" t="s">
        <v>544</v>
      </c>
    </row>
    <row r="154" spans="1:23">
      <c r="A154" s="21" t="s">
        <v>449</v>
      </c>
      <c r="B154" s="21" t="s">
        <v>450</v>
      </c>
      <c r="C154" s="21" t="s">
        <v>450</v>
      </c>
      <c r="D154" s="21"/>
      <c r="E154" s="21" t="s">
        <v>111</v>
      </c>
      <c r="F154" s="31" t="s">
        <v>401</v>
      </c>
      <c r="G154" s="31"/>
      <c r="H154" s="51"/>
      <c r="I154" s="22"/>
      <c r="J154" s="22"/>
      <c r="K154" s="22"/>
      <c r="L154" s="22"/>
      <c r="M154" s="22"/>
      <c r="N154" s="22"/>
      <c r="O154" s="32">
        <v>75000</v>
      </c>
      <c r="P154" s="21"/>
      <c r="Q154" s="21"/>
      <c r="R154" s="21" t="s">
        <v>754</v>
      </c>
      <c r="T154" t="s">
        <v>542</v>
      </c>
      <c r="U154" t="s">
        <v>549</v>
      </c>
    </row>
    <row r="155" spans="1:23" s="66" customFormat="1">
      <c r="A155" s="67" t="s">
        <v>317</v>
      </c>
      <c r="B155" s="67" t="s">
        <v>294</v>
      </c>
      <c r="C155" s="67" t="s">
        <v>92</v>
      </c>
      <c r="D155" s="67"/>
      <c r="E155" s="67" t="s">
        <v>295</v>
      </c>
      <c r="F155" s="67" t="s">
        <v>701</v>
      </c>
      <c r="G155" s="67" t="s">
        <v>299</v>
      </c>
      <c r="H155" s="68" t="s">
        <v>39</v>
      </c>
      <c r="I155" s="68" t="s">
        <v>39</v>
      </c>
      <c r="J155" s="68" t="s">
        <v>39</v>
      </c>
      <c r="K155" s="68" t="s">
        <v>78</v>
      </c>
      <c r="L155" s="68" t="s">
        <v>78</v>
      </c>
      <c r="M155" s="68"/>
      <c r="N155" s="68"/>
      <c r="O155" s="69">
        <v>20000</v>
      </c>
      <c r="P155" s="67"/>
      <c r="Q155" s="67"/>
      <c r="R155" s="67" t="s">
        <v>527</v>
      </c>
      <c r="S155" s="66" t="s">
        <v>545</v>
      </c>
      <c r="T155" s="66" t="s">
        <v>542</v>
      </c>
      <c r="U155" s="66" t="s">
        <v>544</v>
      </c>
      <c r="V155" s="66" t="s">
        <v>546</v>
      </c>
    </row>
    <row r="156" spans="1:23">
      <c r="A156" s="21" t="s">
        <v>415</v>
      </c>
      <c r="B156" s="21" t="s">
        <v>415</v>
      </c>
      <c r="C156" s="21" t="s">
        <v>415</v>
      </c>
      <c r="D156" s="21"/>
      <c r="E156" s="21" t="s">
        <v>152</v>
      </c>
      <c r="F156" s="21" t="s">
        <v>1840</v>
      </c>
      <c r="G156" s="21" t="s">
        <v>416</v>
      </c>
      <c r="H156" s="22" t="s">
        <v>39</v>
      </c>
      <c r="I156" s="22"/>
      <c r="J156" s="22"/>
      <c r="K156" s="22"/>
      <c r="L156" s="22"/>
      <c r="M156" s="22"/>
      <c r="N156" s="22" t="s">
        <v>40</v>
      </c>
      <c r="O156" s="32">
        <v>75000</v>
      </c>
      <c r="P156" s="21"/>
      <c r="Q156" s="21" t="s">
        <v>417</v>
      </c>
      <c r="R156" s="21" t="s">
        <v>527</v>
      </c>
      <c r="T156" t="s">
        <v>542</v>
      </c>
      <c r="U156" t="s">
        <v>549</v>
      </c>
      <c r="W156" t="s">
        <v>1877</v>
      </c>
    </row>
    <row r="157" spans="1:23">
      <c r="A157" s="21" t="s">
        <v>521</v>
      </c>
      <c r="B157" s="21"/>
      <c r="C157" s="21"/>
      <c r="D157" s="21"/>
      <c r="E157" s="21" t="s">
        <v>55</v>
      </c>
      <c r="F157" s="21" t="s">
        <v>285</v>
      </c>
      <c r="G157" s="21"/>
      <c r="H157" s="22" t="s">
        <v>77</v>
      </c>
      <c r="I157" s="22"/>
      <c r="J157" s="22" t="s">
        <v>78</v>
      </c>
      <c r="K157" s="22" t="s">
        <v>78</v>
      </c>
      <c r="L157" s="22" t="s">
        <v>78</v>
      </c>
      <c r="M157" s="22"/>
      <c r="N157" s="22"/>
      <c r="O157" s="22">
        <v>0</v>
      </c>
      <c r="P157" s="21"/>
      <c r="Q157" s="21"/>
      <c r="R157" s="21" t="s">
        <v>726</v>
      </c>
      <c r="T157" t="s">
        <v>44</v>
      </c>
      <c r="U157" t="s">
        <v>44</v>
      </c>
      <c r="V157" t="s">
        <v>1878</v>
      </c>
    </row>
    <row r="158" spans="1:23">
      <c r="A158" s="21" t="s">
        <v>456</v>
      </c>
      <c r="B158" s="21" t="s">
        <v>456</v>
      </c>
      <c r="C158" s="21" t="s">
        <v>456</v>
      </c>
      <c r="D158" s="21"/>
      <c r="E158" s="21" t="s">
        <v>50</v>
      </c>
      <c r="F158" s="21" t="s">
        <v>51</v>
      </c>
      <c r="G158" s="21"/>
      <c r="H158" s="22"/>
      <c r="I158" s="22"/>
      <c r="J158" s="22" t="s">
        <v>39</v>
      </c>
      <c r="K158" s="22"/>
      <c r="L158" s="22"/>
      <c r="M158" s="22" t="s">
        <v>39</v>
      </c>
      <c r="N158" s="22"/>
      <c r="O158" s="32">
        <v>0</v>
      </c>
      <c r="P158" s="24">
        <v>0.8</v>
      </c>
      <c r="Q158" s="21" t="s">
        <v>282</v>
      </c>
      <c r="R158" s="21" t="s">
        <v>771</v>
      </c>
      <c r="T158" t="s">
        <v>44</v>
      </c>
      <c r="U158" t="s">
        <v>551</v>
      </c>
      <c r="V158" t="s">
        <v>1879</v>
      </c>
    </row>
    <row r="159" spans="1:23">
      <c r="A159" s="21" t="s">
        <v>333</v>
      </c>
      <c r="B159" s="21" t="s">
        <v>334</v>
      </c>
      <c r="C159" s="21" t="s">
        <v>334</v>
      </c>
      <c r="D159" s="21"/>
      <c r="E159" s="21" t="s">
        <v>55</v>
      </c>
      <c r="F159" s="21" t="s">
        <v>335</v>
      </c>
      <c r="G159" s="21"/>
      <c r="H159" s="22" t="s">
        <v>77</v>
      </c>
      <c r="I159" s="22" t="s">
        <v>77</v>
      </c>
      <c r="J159" s="22" t="s">
        <v>39</v>
      </c>
      <c r="K159" s="22" t="s">
        <v>78</v>
      </c>
      <c r="L159" s="22" t="s">
        <v>78</v>
      </c>
      <c r="M159" s="22" t="s">
        <v>39</v>
      </c>
      <c r="N159" s="22"/>
      <c r="O159" s="22"/>
      <c r="P159" s="21"/>
      <c r="Q159" s="21"/>
      <c r="R159" s="21" t="s">
        <v>726</v>
      </c>
      <c r="T159" t="s">
        <v>44</v>
      </c>
      <c r="U159" t="s">
        <v>44</v>
      </c>
      <c r="V159" t="s">
        <v>1880</v>
      </c>
    </row>
    <row r="160" spans="1:23">
      <c r="A160" s="30" t="s">
        <v>428</v>
      </c>
      <c r="B160" s="21" t="s">
        <v>429</v>
      </c>
      <c r="C160" s="21" t="s">
        <v>92</v>
      </c>
      <c r="D160" s="21"/>
      <c r="E160" s="21" t="s">
        <v>161</v>
      </c>
      <c r="F160" s="21" t="s">
        <v>1827</v>
      </c>
      <c r="G160" s="21" t="s">
        <v>431</v>
      </c>
      <c r="H160" s="22" t="s">
        <v>39</v>
      </c>
      <c r="I160" s="22" t="s">
        <v>62</v>
      </c>
      <c r="J160" s="22" t="s">
        <v>39</v>
      </c>
      <c r="K160" s="22" t="s">
        <v>141</v>
      </c>
      <c r="L160" s="22" t="s">
        <v>141</v>
      </c>
      <c r="M160" s="22" t="s">
        <v>141</v>
      </c>
      <c r="N160" s="22" t="s">
        <v>141</v>
      </c>
      <c r="O160" s="23">
        <v>20000</v>
      </c>
      <c r="P160" s="21"/>
      <c r="Q160" s="46" t="s">
        <v>432</v>
      </c>
      <c r="R160" s="21" t="s">
        <v>527</v>
      </c>
      <c r="T160" t="s">
        <v>542</v>
      </c>
      <c r="U160" t="s">
        <v>544</v>
      </c>
      <c r="V160" s="4"/>
      <c r="W160" t="s">
        <v>1820</v>
      </c>
    </row>
    <row r="161" spans="1:23" s="66" customFormat="1">
      <c r="A161" s="67" t="s">
        <v>318</v>
      </c>
      <c r="B161" s="67" t="s">
        <v>294</v>
      </c>
      <c r="C161" s="67" t="s">
        <v>92</v>
      </c>
      <c r="D161" s="67"/>
      <c r="E161" s="67" t="s">
        <v>295</v>
      </c>
      <c r="F161" s="67" t="s">
        <v>701</v>
      </c>
      <c r="G161" s="67" t="s">
        <v>299</v>
      </c>
      <c r="H161" s="68" t="s">
        <v>39</v>
      </c>
      <c r="I161" s="68" t="s">
        <v>39</v>
      </c>
      <c r="J161" s="68" t="s">
        <v>39</v>
      </c>
      <c r="K161" s="68" t="s">
        <v>78</v>
      </c>
      <c r="L161" s="68" t="s">
        <v>78</v>
      </c>
      <c r="M161" s="68"/>
      <c r="N161" s="68"/>
      <c r="O161" s="69">
        <v>20000</v>
      </c>
      <c r="P161" s="67"/>
      <c r="Q161" s="67"/>
      <c r="R161" s="67" t="s">
        <v>527</v>
      </c>
      <c r="S161" s="66" t="s">
        <v>545</v>
      </c>
      <c r="T161" s="66" t="s">
        <v>542</v>
      </c>
      <c r="U161" s="66" t="s">
        <v>544</v>
      </c>
      <c r="V161" s="73" t="s">
        <v>546</v>
      </c>
    </row>
    <row r="162" spans="1:23">
      <c r="A162" s="21" t="s">
        <v>457</v>
      </c>
      <c r="B162" s="21" t="s">
        <v>457</v>
      </c>
      <c r="C162" s="21" t="s">
        <v>457</v>
      </c>
      <c r="D162" s="21"/>
      <c r="E162" s="21" t="s">
        <v>50</v>
      </c>
      <c r="F162" s="21" t="s">
        <v>51</v>
      </c>
      <c r="G162" s="21"/>
      <c r="H162" s="22"/>
      <c r="I162" s="22"/>
      <c r="J162" s="22" t="s">
        <v>39</v>
      </c>
      <c r="K162" s="22"/>
      <c r="L162" s="22"/>
      <c r="M162" s="22" t="s">
        <v>39</v>
      </c>
      <c r="N162" s="22"/>
      <c r="O162" s="23">
        <v>50000</v>
      </c>
      <c r="P162" s="24">
        <v>0.5</v>
      </c>
      <c r="Q162" s="21" t="s">
        <v>256</v>
      </c>
      <c r="R162" s="21" t="s">
        <v>771</v>
      </c>
      <c r="T162" t="s">
        <v>542</v>
      </c>
      <c r="U162" t="s">
        <v>543</v>
      </c>
    </row>
    <row r="163" spans="1:23">
      <c r="A163" s="21" t="s">
        <v>380</v>
      </c>
      <c r="B163" s="21" t="s">
        <v>381</v>
      </c>
      <c r="C163" s="21" t="s">
        <v>381</v>
      </c>
      <c r="D163" s="21"/>
      <c r="E163" s="21" t="s">
        <v>50</v>
      </c>
      <c r="F163" s="21" t="s">
        <v>338</v>
      </c>
      <c r="G163" s="21"/>
      <c r="H163" s="22"/>
      <c r="I163" s="22" t="s">
        <v>39</v>
      </c>
      <c r="J163" s="22" t="s">
        <v>39</v>
      </c>
      <c r="K163" s="22"/>
      <c r="L163" s="22"/>
      <c r="M163" s="22" t="s">
        <v>39</v>
      </c>
      <c r="N163" s="22"/>
      <c r="O163" s="32">
        <v>0</v>
      </c>
      <c r="P163" s="24">
        <v>0.8</v>
      </c>
      <c r="Q163" s="21" t="s">
        <v>382</v>
      </c>
      <c r="R163" s="21" t="s">
        <v>771</v>
      </c>
      <c r="U163" t="s">
        <v>44</v>
      </c>
      <c r="V163" t="s">
        <v>1881</v>
      </c>
    </row>
    <row r="164" spans="1:23">
      <c r="A164" s="21" t="s">
        <v>380</v>
      </c>
      <c r="B164" s="21" t="s">
        <v>448</v>
      </c>
      <c r="C164" s="21" t="s">
        <v>448</v>
      </c>
      <c r="D164" s="21"/>
      <c r="E164" s="21" t="s">
        <v>50</v>
      </c>
      <c r="F164" s="21" t="s">
        <v>338</v>
      </c>
      <c r="G164" s="21"/>
      <c r="H164" s="22"/>
      <c r="I164" s="22" t="s">
        <v>39</v>
      </c>
      <c r="J164" s="22" t="s">
        <v>39</v>
      </c>
      <c r="K164" s="22"/>
      <c r="L164" s="22"/>
      <c r="M164" s="22" t="s">
        <v>39</v>
      </c>
      <c r="N164" s="22"/>
      <c r="O164" s="32">
        <v>0</v>
      </c>
      <c r="P164" s="24">
        <v>0.8</v>
      </c>
      <c r="Q164" s="21" t="s">
        <v>403</v>
      </c>
      <c r="R164" s="21" t="s">
        <v>771</v>
      </c>
      <c r="U164" t="s">
        <v>44</v>
      </c>
      <c r="V164" t="s">
        <v>1881</v>
      </c>
    </row>
    <row r="165" spans="1:23">
      <c r="A165" s="21" t="s">
        <v>336</v>
      </c>
      <c r="B165" s="21" t="s">
        <v>337</v>
      </c>
      <c r="C165" s="21" t="s">
        <v>337</v>
      </c>
      <c r="D165" s="21"/>
      <c r="E165" s="21" t="s">
        <v>50</v>
      </c>
      <c r="F165" s="21" t="s">
        <v>338</v>
      </c>
      <c r="G165" s="21"/>
      <c r="H165" s="22"/>
      <c r="I165" s="22" t="s">
        <v>39</v>
      </c>
      <c r="J165" s="22" t="s">
        <v>39</v>
      </c>
      <c r="K165" s="22"/>
      <c r="L165" s="22"/>
      <c r="M165" s="22" t="s">
        <v>39</v>
      </c>
      <c r="N165" s="22"/>
      <c r="O165" s="32">
        <v>0</v>
      </c>
      <c r="P165" s="24">
        <v>0.8</v>
      </c>
      <c r="Q165" s="21" t="s">
        <v>339</v>
      </c>
      <c r="R165" s="21" t="s">
        <v>771</v>
      </c>
      <c r="U165" t="s">
        <v>44</v>
      </c>
      <c r="V165" t="s">
        <v>1881</v>
      </c>
    </row>
    <row r="166" spans="1:23">
      <c r="A166" s="21" t="s">
        <v>336</v>
      </c>
      <c r="B166" s="21" t="s">
        <v>500</v>
      </c>
      <c r="C166" s="21" t="s">
        <v>500</v>
      </c>
      <c r="D166" s="21"/>
      <c r="E166" s="21" t="s">
        <v>50</v>
      </c>
      <c r="F166" s="21" t="s">
        <v>338</v>
      </c>
      <c r="G166" s="21"/>
      <c r="H166" s="22"/>
      <c r="I166" s="22" t="s">
        <v>39</v>
      </c>
      <c r="J166" s="22" t="s">
        <v>39</v>
      </c>
      <c r="K166" s="22"/>
      <c r="L166" s="22"/>
      <c r="M166" s="22" t="s">
        <v>39</v>
      </c>
      <c r="N166" s="22"/>
      <c r="O166" s="32">
        <v>0</v>
      </c>
      <c r="P166" s="24">
        <v>0.8</v>
      </c>
      <c r="Q166" s="21" t="s">
        <v>339</v>
      </c>
      <c r="R166" s="21" t="s">
        <v>771</v>
      </c>
      <c r="U166" t="s">
        <v>44</v>
      </c>
      <c r="V166" t="s">
        <v>1881</v>
      </c>
    </row>
    <row r="167" spans="1:23">
      <c r="A167" s="21" t="s">
        <v>336</v>
      </c>
      <c r="B167" s="21" t="s">
        <v>402</v>
      </c>
      <c r="C167" s="21" t="s">
        <v>402</v>
      </c>
      <c r="D167" s="21"/>
      <c r="E167" s="21" t="s">
        <v>50</v>
      </c>
      <c r="F167" s="21" t="s">
        <v>338</v>
      </c>
      <c r="G167" s="21"/>
      <c r="H167" s="22"/>
      <c r="I167" s="22" t="s">
        <v>39</v>
      </c>
      <c r="J167" s="22" t="s">
        <v>39</v>
      </c>
      <c r="K167" s="22"/>
      <c r="L167" s="22"/>
      <c r="M167" s="22" t="s">
        <v>39</v>
      </c>
      <c r="N167" s="22"/>
      <c r="O167" s="32">
        <v>0</v>
      </c>
      <c r="P167" s="24">
        <v>0.8</v>
      </c>
      <c r="Q167" s="21" t="s">
        <v>403</v>
      </c>
      <c r="R167" s="21" t="s">
        <v>771</v>
      </c>
      <c r="U167" t="s">
        <v>44</v>
      </c>
      <c r="V167" t="s">
        <v>1881</v>
      </c>
    </row>
    <row r="168" spans="1:23">
      <c r="A168" s="36" t="s">
        <v>466</v>
      </c>
      <c r="B168" s="21" t="s">
        <v>467</v>
      </c>
      <c r="C168" s="21" t="s">
        <v>466</v>
      </c>
      <c r="D168" s="21"/>
      <c r="E168" s="21" t="s">
        <v>50</v>
      </c>
      <c r="F168" s="21" t="s">
        <v>468</v>
      </c>
      <c r="G168" s="21"/>
      <c r="H168" s="22"/>
      <c r="I168" s="22"/>
      <c r="J168" s="22" t="s">
        <v>39</v>
      </c>
      <c r="K168" s="22"/>
      <c r="L168" s="22"/>
      <c r="M168" s="22" t="s">
        <v>39</v>
      </c>
      <c r="N168" s="22"/>
      <c r="O168" s="32">
        <v>250000</v>
      </c>
      <c r="P168" s="24">
        <v>0.75</v>
      </c>
      <c r="Q168" s="21" t="s">
        <v>469</v>
      </c>
      <c r="R168" s="21" t="s">
        <v>771</v>
      </c>
      <c r="T168" t="s">
        <v>1818</v>
      </c>
      <c r="U168" t="s">
        <v>555</v>
      </c>
      <c r="V168" t="s">
        <v>1882</v>
      </c>
    </row>
    <row r="169" spans="1:23">
      <c r="A169" s="21" t="s">
        <v>472</v>
      </c>
      <c r="B169" s="21" t="s">
        <v>473</v>
      </c>
      <c r="C169" s="21" t="s">
        <v>473</v>
      </c>
      <c r="D169" s="21" t="s">
        <v>474</v>
      </c>
      <c r="E169" s="21" t="s">
        <v>60</v>
      </c>
      <c r="F169" s="21" t="s">
        <v>475</v>
      </c>
      <c r="G169" s="21" t="s">
        <v>62</v>
      </c>
      <c r="H169" s="22" t="s">
        <v>476</v>
      </c>
      <c r="I169" s="22" t="s">
        <v>63</v>
      </c>
      <c r="J169" s="22" t="s">
        <v>477</v>
      </c>
      <c r="K169" s="22" t="s">
        <v>64</v>
      </c>
      <c r="L169" s="22" t="s">
        <v>64</v>
      </c>
      <c r="M169" s="22" t="s">
        <v>65</v>
      </c>
      <c r="N169" s="22" t="s">
        <v>64</v>
      </c>
      <c r="O169" s="23">
        <v>20000</v>
      </c>
      <c r="P169" s="24">
        <v>0.25</v>
      </c>
      <c r="Q169" s="21" t="s">
        <v>478</v>
      </c>
      <c r="R169" s="21" t="s">
        <v>788</v>
      </c>
      <c r="S169" s="5"/>
      <c r="T169" s="5" t="s">
        <v>1804</v>
      </c>
      <c r="U169" s="5" t="s">
        <v>1800</v>
      </c>
      <c r="V169" s="5" t="s">
        <v>1803</v>
      </c>
      <c r="W169" s="5"/>
    </row>
    <row r="170" spans="1:23">
      <c r="A170" s="21" t="s">
        <v>404</v>
      </c>
      <c r="B170" s="21" t="s">
        <v>404</v>
      </c>
      <c r="C170" s="21" t="s">
        <v>404</v>
      </c>
      <c r="D170" s="21"/>
      <c r="E170" s="21" t="s">
        <v>55</v>
      </c>
      <c r="F170" s="21" t="s">
        <v>138</v>
      </c>
      <c r="G170" s="21"/>
      <c r="H170" s="22" t="s">
        <v>39</v>
      </c>
      <c r="I170" s="22" t="s">
        <v>78</v>
      </c>
      <c r="J170" s="22" t="s">
        <v>39</v>
      </c>
      <c r="K170" s="22" t="s">
        <v>78</v>
      </c>
      <c r="L170" s="22" t="s">
        <v>39</v>
      </c>
      <c r="M170" s="22" t="s">
        <v>39</v>
      </c>
      <c r="N170" s="22" t="s">
        <v>39</v>
      </c>
      <c r="O170" s="23">
        <v>100000</v>
      </c>
      <c r="P170" s="21"/>
      <c r="Q170" s="21" t="s">
        <v>405</v>
      </c>
      <c r="R170" s="21" t="s">
        <v>726</v>
      </c>
      <c r="T170" t="s">
        <v>1883</v>
      </c>
      <c r="U170" t="s">
        <v>556</v>
      </c>
      <c r="V170" t="s">
        <v>1884</v>
      </c>
    </row>
    <row r="171" spans="1:23">
      <c r="A171" s="21" t="s">
        <v>438</v>
      </c>
      <c r="B171" s="21" t="s">
        <v>438</v>
      </c>
      <c r="C171" s="21" t="s">
        <v>438</v>
      </c>
      <c r="D171" s="21"/>
      <c r="E171" s="21" t="s">
        <v>55</v>
      </c>
      <c r="F171" s="21" t="s">
        <v>138</v>
      </c>
      <c r="G171" s="21"/>
      <c r="H171" s="22" t="s">
        <v>78</v>
      </c>
      <c r="I171" s="22" t="s">
        <v>39</v>
      </c>
      <c r="J171" s="22" t="s">
        <v>39</v>
      </c>
      <c r="K171" s="22" t="s">
        <v>78</v>
      </c>
      <c r="L171" s="22" t="s">
        <v>39</v>
      </c>
      <c r="M171" s="22" t="s">
        <v>39</v>
      </c>
      <c r="N171" s="22" t="s">
        <v>39</v>
      </c>
      <c r="O171" s="23">
        <v>750000</v>
      </c>
      <c r="P171" s="21"/>
      <c r="Q171" s="21" t="s">
        <v>439</v>
      </c>
      <c r="R171" s="21" t="s">
        <v>726</v>
      </c>
      <c r="T171" t="s">
        <v>1883</v>
      </c>
      <c r="U171" t="s">
        <v>557</v>
      </c>
      <c r="V171" t="s">
        <v>1885</v>
      </c>
    </row>
    <row r="172" spans="1:23">
      <c r="A172" s="21" t="s">
        <v>504</v>
      </c>
      <c r="B172" s="21" t="s">
        <v>505</v>
      </c>
      <c r="C172" s="21" t="s">
        <v>505</v>
      </c>
      <c r="D172" s="21"/>
      <c r="E172" s="21" t="s">
        <v>55</v>
      </c>
      <c r="F172" s="21" t="s">
        <v>76</v>
      </c>
      <c r="G172" s="21"/>
      <c r="H172" s="22" t="s">
        <v>78</v>
      </c>
      <c r="I172" s="22" t="s">
        <v>78</v>
      </c>
      <c r="J172" s="22" t="s">
        <v>39</v>
      </c>
      <c r="K172" s="22" t="s">
        <v>78</v>
      </c>
      <c r="L172" s="22" t="s">
        <v>39</v>
      </c>
      <c r="M172" s="22" t="s">
        <v>39</v>
      </c>
      <c r="N172" s="22" t="s">
        <v>39</v>
      </c>
      <c r="O172" s="23">
        <v>750000</v>
      </c>
      <c r="P172" s="21"/>
      <c r="Q172" s="21" t="s">
        <v>506</v>
      </c>
      <c r="R172" s="21" t="s">
        <v>726</v>
      </c>
      <c r="T172" t="s">
        <v>1883</v>
      </c>
      <c r="U172" t="s">
        <v>557</v>
      </c>
      <c r="V172" t="s">
        <v>1886</v>
      </c>
    </row>
    <row r="173" spans="1:23" s="66" customFormat="1">
      <c r="A173" s="67" t="s">
        <v>319</v>
      </c>
      <c r="B173" s="67" t="s">
        <v>294</v>
      </c>
      <c r="C173" s="67" t="s">
        <v>92</v>
      </c>
      <c r="D173" s="67"/>
      <c r="E173" s="67" t="s">
        <v>295</v>
      </c>
      <c r="F173" s="67" t="s">
        <v>701</v>
      </c>
      <c r="G173" s="67" t="s">
        <v>299</v>
      </c>
      <c r="H173" s="68" t="s">
        <v>39</v>
      </c>
      <c r="I173" s="68" t="s">
        <v>39</v>
      </c>
      <c r="J173" s="68" t="s">
        <v>39</v>
      </c>
      <c r="K173" s="68" t="s">
        <v>78</v>
      </c>
      <c r="L173" s="68" t="s">
        <v>78</v>
      </c>
      <c r="M173" s="68"/>
      <c r="N173" s="68"/>
      <c r="O173" s="69">
        <v>20000</v>
      </c>
      <c r="P173" s="67"/>
      <c r="Q173" s="67"/>
      <c r="R173" s="67" t="s">
        <v>527</v>
      </c>
      <c r="S173" s="66" t="s">
        <v>545</v>
      </c>
      <c r="T173" s="66" t="s">
        <v>542</v>
      </c>
      <c r="U173" s="66" t="s">
        <v>544</v>
      </c>
      <c r="V173" s="66" t="s">
        <v>546</v>
      </c>
    </row>
    <row r="174" spans="1:23" s="66" customFormat="1">
      <c r="A174" s="67" t="s">
        <v>219</v>
      </c>
      <c r="B174" s="67" t="s">
        <v>208</v>
      </c>
      <c r="C174" s="67" t="s">
        <v>92</v>
      </c>
      <c r="D174" s="67"/>
      <c r="E174" s="67" t="s">
        <v>120</v>
      </c>
      <c r="F174" s="67" t="s">
        <v>204</v>
      </c>
      <c r="G174" s="70" t="s">
        <v>220</v>
      </c>
      <c r="H174" s="68" t="s">
        <v>206</v>
      </c>
      <c r="I174" s="68" t="s">
        <v>39</v>
      </c>
      <c r="J174" s="68"/>
      <c r="K174" s="68"/>
      <c r="L174" s="68"/>
      <c r="M174" s="68"/>
      <c r="N174" s="68"/>
      <c r="O174" s="69">
        <v>20000</v>
      </c>
      <c r="P174" s="67"/>
      <c r="Q174" s="67"/>
      <c r="R174" s="67" t="s">
        <v>527</v>
      </c>
      <c r="S174" s="66" t="s">
        <v>545</v>
      </c>
      <c r="T174" s="66" t="s">
        <v>542</v>
      </c>
      <c r="U174" s="66" t="s">
        <v>544</v>
      </c>
      <c r="V174" s="66" t="s">
        <v>546</v>
      </c>
    </row>
    <row r="175" spans="1:23">
      <c r="A175" s="21" t="s">
        <v>504</v>
      </c>
      <c r="B175" s="21" t="s">
        <v>507</v>
      </c>
      <c r="C175" s="21" t="s">
        <v>508</v>
      </c>
      <c r="D175" s="21"/>
      <c r="E175" s="21" t="s">
        <v>55</v>
      </c>
      <c r="F175" s="21" t="s">
        <v>509</v>
      </c>
      <c r="G175" s="21"/>
      <c r="H175" s="22" t="s">
        <v>78</v>
      </c>
      <c r="I175" s="22" t="s">
        <v>78</v>
      </c>
      <c r="J175" s="22" t="s">
        <v>39</v>
      </c>
      <c r="K175" s="22" t="s">
        <v>78</v>
      </c>
      <c r="L175" s="22" t="s">
        <v>39</v>
      </c>
      <c r="M175" s="22" t="s">
        <v>39</v>
      </c>
      <c r="N175" s="22" t="s">
        <v>39</v>
      </c>
      <c r="O175" s="22"/>
      <c r="P175" s="21"/>
      <c r="Q175" s="21" t="s">
        <v>510</v>
      </c>
      <c r="R175" s="21" t="s">
        <v>726</v>
      </c>
      <c r="T175" t="s">
        <v>44</v>
      </c>
      <c r="U175" t="s">
        <v>44</v>
      </c>
      <c r="V175" t="s">
        <v>1887</v>
      </c>
    </row>
    <row r="176" spans="1:23">
      <c r="A176" s="21" t="s">
        <v>374</v>
      </c>
      <c r="B176" s="21" t="s">
        <v>375</v>
      </c>
      <c r="C176" s="21" t="s">
        <v>92</v>
      </c>
      <c r="D176" s="21"/>
      <c r="E176" s="21" t="s">
        <v>152</v>
      </c>
      <c r="F176" s="21" t="s">
        <v>650</v>
      </c>
      <c r="G176" s="21" t="s">
        <v>376</v>
      </c>
      <c r="H176" s="22" t="s">
        <v>39</v>
      </c>
      <c r="I176" s="22"/>
      <c r="J176" s="22"/>
      <c r="K176" s="22"/>
      <c r="L176" s="22"/>
      <c r="M176" s="22"/>
      <c r="N176" s="22"/>
      <c r="O176" s="23">
        <v>20000</v>
      </c>
      <c r="P176" s="21"/>
      <c r="Q176" s="21" t="s">
        <v>377</v>
      </c>
      <c r="R176" s="21" t="s">
        <v>527</v>
      </c>
      <c r="T176" t="s">
        <v>542</v>
      </c>
      <c r="U176" t="s">
        <v>544</v>
      </c>
    </row>
    <row r="177" spans="1:23">
      <c r="A177" s="21" t="s">
        <v>374</v>
      </c>
      <c r="B177" s="21" t="s">
        <v>1888</v>
      </c>
      <c r="C177" s="21" t="s">
        <v>1889</v>
      </c>
      <c r="D177" s="4"/>
      <c r="E177" s="21" t="s">
        <v>50</v>
      </c>
      <c r="F177" s="21" t="s">
        <v>771</v>
      </c>
      <c r="G177" s="4"/>
      <c r="H177" s="16"/>
      <c r="I177" s="16"/>
      <c r="J177" s="16"/>
      <c r="K177" s="16"/>
      <c r="L177" s="16"/>
      <c r="M177" s="16"/>
      <c r="N177" s="16"/>
      <c r="O177" s="23">
        <v>20000</v>
      </c>
      <c r="P177" s="4"/>
      <c r="Q177" s="4"/>
      <c r="R177" s="21" t="s">
        <v>771</v>
      </c>
      <c r="T177" t="s">
        <v>542</v>
      </c>
      <c r="U177" t="s">
        <v>544</v>
      </c>
      <c r="V177" t="s">
        <v>1890</v>
      </c>
    </row>
    <row r="178" spans="1:23" s="66" customFormat="1">
      <c r="A178" s="67" t="s">
        <v>320</v>
      </c>
      <c r="B178" s="67" t="s">
        <v>294</v>
      </c>
      <c r="C178" s="67" t="s">
        <v>92</v>
      </c>
      <c r="D178" s="67"/>
      <c r="E178" s="67" t="s">
        <v>295</v>
      </c>
      <c r="F178" s="67" t="s">
        <v>701</v>
      </c>
      <c r="G178" s="67" t="s">
        <v>299</v>
      </c>
      <c r="H178" s="68" t="s">
        <v>39</v>
      </c>
      <c r="I178" s="68" t="s">
        <v>39</v>
      </c>
      <c r="J178" s="68" t="s">
        <v>39</v>
      </c>
      <c r="K178" s="68" t="s">
        <v>78</v>
      </c>
      <c r="L178" s="68" t="s">
        <v>78</v>
      </c>
      <c r="M178" s="68"/>
      <c r="N178" s="68"/>
      <c r="O178" s="69">
        <v>20000</v>
      </c>
      <c r="P178" s="67"/>
      <c r="Q178" s="67"/>
      <c r="R178" s="67" t="s">
        <v>527</v>
      </c>
      <c r="S178" s="66" t="s">
        <v>545</v>
      </c>
      <c r="T178" s="66" t="s">
        <v>542</v>
      </c>
      <c r="U178" s="66" t="s">
        <v>544</v>
      </c>
      <c r="V178" s="66" t="s">
        <v>546</v>
      </c>
    </row>
    <row r="179" spans="1:23">
      <c r="A179" s="21" t="s">
        <v>440</v>
      </c>
      <c r="B179" s="31" t="s">
        <v>441</v>
      </c>
      <c r="C179" s="31" t="s">
        <v>441</v>
      </c>
      <c r="D179" s="31" t="s">
        <v>442</v>
      </c>
      <c r="E179" s="21" t="s">
        <v>71</v>
      </c>
      <c r="F179" s="21" t="s">
        <v>443</v>
      </c>
      <c r="G179" s="21"/>
      <c r="H179" s="22"/>
      <c r="I179" s="22"/>
      <c r="J179" s="22"/>
      <c r="K179" s="22"/>
      <c r="L179" s="22"/>
      <c r="M179" s="22"/>
      <c r="N179" s="22"/>
      <c r="O179" s="23">
        <v>20000</v>
      </c>
      <c r="P179" s="21"/>
      <c r="Q179" s="21"/>
      <c r="R179" s="21" t="s">
        <v>792</v>
      </c>
      <c r="T179" t="s">
        <v>542</v>
      </c>
      <c r="U179" t="s">
        <v>544</v>
      </c>
    </row>
    <row r="180" spans="1:23">
      <c r="A180" s="21" t="s">
        <v>501</v>
      </c>
      <c r="B180" s="21" t="s">
        <v>501</v>
      </c>
      <c r="C180" s="21" t="s">
        <v>501</v>
      </c>
      <c r="D180" s="21"/>
      <c r="E180" s="21" t="s">
        <v>50</v>
      </c>
      <c r="F180" s="21" t="s">
        <v>51</v>
      </c>
      <c r="G180" s="21"/>
      <c r="H180" s="22"/>
      <c r="I180" s="22"/>
      <c r="J180" s="22" t="s">
        <v>39</v>
      </c>
      <c r="K180" s="22"/>
      <c r="L180" s="22"/>
      <c r="M180" s="22" t="s">
        <v>39</v>
      </c>
      <c r="N180" s="22"/>
      <c r="O180" s="23">
        <v>20000</v>
      </c>
      <c r="P180" s="24">
        <v>0.5</v>
      </c>
      <c r="Q180" s="21" t="s">
        <v>379</v>
      </c>
      <c r="R180" s="21" t="s">
        <v>771</v>
      </c>
      <c r="T180" t="s">
        <v>542</v>
      </c>
      <c r="U180" t="s">
        <v>544</v>
      </c>
    </row>
    <row r="181" spans="1:23">
      <c r="A181" s="21" t="s">
        <v>183</v>
      </c>
      <c r="B181" s="21" t="s">
        <v>184</v>
      </c>
      <c r="C181" s="21" t="s">
        <v>92</v>
      </c>
      <c r="D181" s="21"/>
      <c r="E181" s="21" t="s">
        <v>152</v>
      </c>
      <c r="F181" s="21" t="s">
        <v>650</v>
      </c>
      <c r="G181" s="21" t="s">
        <v>185</v>
      </c>
      <c r="H181" s="22" t="s">
        <v>39</v>
      </c>
      <c r="I181" s="22"/>
      <c r="J181" s="22"/>
      <c r="K181" s="22"/>
      <c r="L181" s="22"/>
      <c r="M181" s="22"/>
      <c r="N181" s="22"/>
      <c r="O181" s="23">
        <v>20000</v>
      </c>
      <c r="P181" s="21"/>
      <c r="Q181" s="21"/>
      <c r="R181" s="21"/>
      <c r="T181" t="s">
        <v>542</v>
      </c>
      <c r="U181" t="s">
        <v>544</v>
      </c>
    </row>
    <row r="182" spans="1:23">
      <c r="A182" s="21" t="s">
        <v>502</v>
      </c>
      <c r="B182" s="21" t="s">
        <v>503</v>
      </c>
      <c r="C182" s="21"/>
      <c r="D182" s="21"/>
      <c r="E182" s="21" t="s">
        <v>55</v>
      </c>
      <c r="F182" s="21" t="s">
        <v>115</v>
      </c>
      <c r="G182" s="21"/>
      <c r="H182" s="22" t="s">
        <v>78</v>
      </c>
      <c r="I182" s="22" t="s">
        <v>77</v>
      </c>
      <c r="J182" s="22"/>
      <c r="K182" s="22" t="s">
        <v>44</v>
      </c>
      <c r="L182" s="22"/>
      <c r="M182" s="22"/>
      <c r="N182" s="22"/>
      <c r="O182" s="22"/>
      <c r="P182" s="21"/>
      <c r="Q182" s="21"/>
      <c r="R182" s="21" t="s">
        <v>726</v>
      </c>
      <c r="T182" t="s">
        <v>44</v>
      </c>
      <c r="U182" t="s">
        <v>44</v>
      </c>
      <c r="V182" t="s">
        <v>1891</v>
      </c>
    </row>
    <row r="183" spans="1:23">
      <c r="A183" s="21" t="s">
        <v>348</v>
      </c>
      <c r="B183" s="31" t="s">
        <v>349</v>
      </c>
      <c r="C183" s="31" t="s">
        <v>349</v>
      </c>
      <c r="D183" s="31" t="s">
        <v>350</v>
      </c>
      <c r="E183" s="21" t="s">
        <v>71</v>
      </c>
      <c r="F183" s="21" t="s">
        <v>259</v>
      </c>
      <c r="G183" s="21"/>
      <c r="H183" s="22"/>
      <c r="I183" s="22"/>
      <c r="J183" s="22"/>
      <c r="K183" s="22"/>
      <c r="L183" s="22"/>
      <c r="M183" s="22"/>
      <c r="N183" s="22"/>
      <c r="O183" s="22"/>
      <c r="P183" s="21"/>
      <c r="Q183" s="21"/>
      <c r="R183" s="21" t="s">
        <v>792</v>
      </c>
      <c r="T183" t="s">
        <v>542</v>
      </c>
      <c r="U183" t="s">
        <v>44</v>
      </c>
      <c r="V183" t="s">
        <v>1869</v>
      </c>
    </row>
    <row r="184" spans="1:23">
      <c r="A184" s="21" t="s">
        <v>706</v>
      </c>
      <c r="B184" s="21" t="s">
        <v>251</v>
      </c>
      <c r="C184" s="21" t="s">
        <v>251</v>
      </c>
      <c r="D184" s="21"/>
      <c r="E184" s="21" t="s">
        <v>161</v>
      </c>
      <c r="F184" s="21" t="s">
        <v>707</v>
      </c>
      <c r="G184" s="21" t="s">
        <v>253</v>
      </c>
      <c r="H184" s="22" t="s">
        <v>39</v>
      </c>
      <c r="I184" s="22" t="s">
        <v>39</v>
      </c>
      <c r="J184" s="22" t="s">
        <v>40</v>
      </c>
      <c r="K184" s="22"/>
      <c r="L184" s="22" t="s">
        <v>39</v>
      </c>
      <c r="M184" s="22"/>
      <c r="N184" s="22"/>
      <c r="O184" s="32">
        <v>75000</v>
      </c>
      <c r="P184" s="21"/>
      <c r="Q184" s="21" t="s">
        <v>254</v>
      </c>
      <c r="R184" s="21" t="s">
        <v>527</v>
      </c>
      <c r="T184" t="s">
        <v>542</v>
      </c>
      <c r="U184" t="s">
        <v>549</v>
      </c>
      <c r="W184" t="s">
        <v>40</v>
      </c>
    </row>
    <row r="185" spans="1:23">
      <c r="A185" s="21" t="s">
        <v>340</v>
      </c>
      <c r="B185" s="21" t="s">
        <v>465</v>
      </c>
      <c r="C185" s="21" t="s">
        <v>465</v>
      </c>
      <c r="D185" s="21"/>
      <c r="E185" s="21" t="s">
        <v>50</v>
      </c>
      <c r="F185" s="21" t="s">
        <v>51</v>
      </c>
      <c r="G185" s="21"/>
      <c r="H185" s="22"/>
      <c r="I185" s="22"/>
      <c r="J185" s="22" t="s">
        <v>39</v>
      </c>
      <c r="K185" s="22"/>
      <c r="L185" s="22"/>
      <c r="M185" s="22" t="s">
        <v>39</v>
      </c>
      <c r="N185" s="22" t="s">
        <v>39</v>
      </c>
      <c r="O185" s="23">
        <v>20000</v>
      </c>
      <c r="P185" s="24">
        <v>0.5</v>
      </c>
      <c r="Q185" s="21" t="s">
        <v>342</v>
      </c>
      <c r="R185" s="21" t="s">
        <v>771</v>
      </c>
      <c r="T185" t="s">
        <v>542</v>
      </c>
      <c r="U185" t="s">
        <v>544</v>
      </c>
    </row>
    <row r="186" spans="1:23">
      <c r="A186" s="21" t="s">
        <v>340</v>
      </c>
      <c r="B186" s="21" t="s">
        <v>341</v>
      </c>
      <c r="C186" s="21" t="s">
        <v>341</v>
      </c>
      <c r="D186" s="21"/>
      <c r="E186" s="21" t="s">
        <v>50</v>
      </c>
      <c r="F186" s="21" t="s">
        <v>51</v>
      </c>
      <c r="G186" s="21"/>
      <c r="H186" s="22"/>
      <c r="I186" s="22"/>
      <c r="J186" s="22" t="s">
        <v>39</v>
      </c>
      <c r="K186" s="22"/>
      <c r="L186" s="22"/>
      <c r="M186" s="22" t="s">
        <v>39</v>
      </c>
      <c r="N186" s="22" t="s">
        <v>39</v>
      </c>
      <c r="O186" s="23">
        <v>20000</v>
      </c>
      <c r="P186" s="24">
        <v>0.5</v>
      </c>
      <c r="Q186" s="21" t="s">
        <v>342</v>
      </c>
      <c r="R186" s="21" t="s">
        <v>771</v>
      </c>
      <c r="T186" t="s">
        <v>542</v>
      </c>
      <c r="U186" t="s">
        <v>544</v>
      </c>
    </row>
    <row r="187" spans="1:23">
      <c r="A187" s="21" t="s">
        <v>124</v>
      </c>
      <c r="B187" s="21" t="s">
        <v>125</v>
      </c>
      <c r="C187" s="21" t="s">
        <v>125</v>
      </c>
      <c r="D187" s="21"/>
      <c r="E187" s="21" t="s">
        <v>55</v>
      </c>
      <c r="F187" s="21" t="s">
        <v>126</v>
      </c>
      <c r="G187" s="21"/>
      <c r="H187" s="22" t="s">
        <v>78</v>
      </c>
      <c r="I187" s="22" t="s">
        <v>77</v>
      </c>
      <c r="J187" s="22" t="s">
        <v>39</v>
      </c>
      <c r="K187" s="22" t="s">
        <v>78</v>
      </c>
      <c r="L187" s="22" t="s">
        <v>78</v>
      </c>
      <c r="M187" s="22" t="s">
        <v>39</v>
      </c>
      <c r="N187" s="22"/>
      <c r="O187" s="23">
        <v>50000</v>
      </c>
      <c r="P187" s="21"/>
      <c r="Q187" s="21"/>
      <c r="R187" s="21" t="s">
        <v>726</v>
      </c>
      <c r="T187" t="s">
        <v>542</v>
      </c>
      <c r="U187" t="s">
        <v>543</v>
      </c>
      <c r="V187" t="s">
        <v>1892</v>
      </c>
    </row>
    <row r="188" spans="1:23">
      <c r="A188" s="21" t="s">
        <v>340</v>
      </c>
      <c r="B188" s="21" t="s">
        <v>367</v>
      </c>
      <c r="C188" s="21" t="s">
        <v>367</v>
      </c>
      <c r="D188" s="21"/>
      <c r="E188" s="21" t="s">
        <v>50</v>
      </c>
      <c r="F188" s="21" t="s">
        <v>51</v>
      </c>
      <c r="G188" s="21"/>
      <c r="H188" s="22"/>
      <c r="I188" s="22"/>
      <c r="J188" s="22" t="s">
        <v>39</v>
      </c>
      <c r="K188" s="22"/>
      <c r="L188" s="22"/>
      <c r="M188" s="22" t="s">
        <v>39</v>
      </c>
      <c r="N188" s="22" t="s">
        <v>39</v>
      </c>
      <c r="O188" s="23">
        <v>20000</v>
      </c>
      <c r="P188" s="24">
        <v>0.5</v>
      </c>
      <c r="Q188" s="21" t="s">
        <v>342</v>
      </c>
      <c r="R188" s="21" t="s">
        <v>771</v>
      </c>
      <c r="T188" t="s">
        <v>542</v>
      </c>
      <c r="U188" t="s">
        <v>544</v>
      </c>
    </row>
    <row r="189" spans="1:23" s="66" customFormat="1">
      <c r="A189" s="67" t="s">
        <v>221</v>
      </c>
      <c r="B189" s="67" t="s">
        <v>208</v>
      </c>
      <c r="C189" s="67" t="s">
        <v>92</v>
      </c>
      <c r="D189" s="67"/>
      <c r="E189" s="67" t="s">
        <v>120</v>
      </c>
      <c r="F189" s="67" t="s">
        <v>204</v>
      </c>
      <c r="G189" s="70" t="s">
        <v>220</v>
      </c>
      <c r="H189" s="68" t="s">
        <v>206</v>
      </c>
      <c r="I189" s="68" t="s">
        <v>39</v>
      </c>
      <c r="J189" s="68"/>
      <c r="K189" s="68"/>
      <c r="L189" s="68"/>
      <c r="M189" s="68"/>
      <c r="N189" s="68"/>
      <c r="O189" s="69">
        <v>20000</v>
      </c>
      <c r="P189" s="67"/>
      <c r="Q189" s="67"/>
      <c r="R189" s="67" t="s">
        <v>527</v>
      </c>
      <c r="S189" s="66" t="s">
        <v>545</v>
      </c>
      <c r="T189" s="66" t="s">
        <v>542</v>
      </c>
      <c r="U189" s="66" t="s">
        <v>544</v>
      </c>
      <c r="V189" s="66" t="s">
        <v>546</v>
      </c>
    </row>
    <row r="190" spans="1:23">
      <c r="A190" s="21" t="s">
        <v>422</v>
      </c>
      <c r="B190" s="21" t="s">
        <v>423</v>
      </c>
      <c r="C190" s="21" t="s">
        <v>423</v>
      </c>
      <c r="D190" s="21" t="s">
        <v>424</v>
      </c>
      <c r="E190" s="21" t="s">
        <v>60</v>
      </c>
      <c r="F190" s="21" t="s">
        <v>425</v>
      </c>
      <c r="G190" s="21" t="s">
        <v>426</v>
      </c>
      <c r="H190" s="22" t="s">
        <v>39</v>
      </c>
      <c r="I190" s="22" t="s">
        <v>39</v>
      </c>
      <c r="J190" s="22" t="s">
        <v>39</v>
      </c>
      <c r="K190" s="22" t="s">
        <v>64</v>
      </c>
      <c r="L190" s="22" t="s">
        <v>64</v>
      </c>
      <c r="M190" s="22" t="s">
        <v>65</v>
      </c>
      <c r="N190" s="22" t="s">
        <v>66</v>
      </c>
      <c r="O190" s="23">
        <v>20000</v>
      </c>
      <c r="P190" s="24">
        <v>0.25</v>
      </c>
      <c r="Q190" s="21" t="s">
        <v>1893</v>
      </c>
      <c r="R190" s="21" t="s">
        <v>788</v>
      </c>
      <c r="S190" s="5"/>
      <c r="T190" s="5" t="s">
        <v>542</v>
      </c>
      <c r="U190" s="5" t="s">
        <v>1800</v>
      </c>
      <c r="V190" s="5" t="s">
        <v>1894</v>
      </c>
      <c r="W190" s="5"/>
    </row>
    <row r="191" spans="1:23">
      <c r="A191" s="21" t="s">
        <v>517</v>
      </c>
      <c r="B191" s="21" t="s">
        <v>517</v>
      </c>
      <c r="C191" s="21" t="s">
        <v>517</v>
      </c>
      <c r="D191" s="21"/>
      <c r="E191" s="21" t="s">
        <v>55</v>
      </c>
      <c r="F191" s="21" t="s">
        <v>518</v>
      </c>
      <c r="G191" s="21"/>
      <c r="H191" s="22" t="s">
        <v>77</v>
      </c>
      <c r="I191" s="22" t="s">
        <v>77</v>
      </c>
      <c r="J191" s="22" t="s">
        <v>78</v>
      </c>
      <c r="K191" s="22" t="s">
        <v>78</v>
      </c>
      <c r="L191" s="22" t="s">
        <v>78</v>
      </c>
      <c r="M191" s="22" t="s">
        <v>77</v>
      </c>
      <c r="N191" s="22" t="s">
        <v>78</v>
      </c>
      <c r="O191" s="22"/>
      <c r="P191" s="21"/>
      <c r="Q191" s="21"/>
      <c r="R191" s="21" t="s">
        <v>726</v>
      </c>
      <c r="T191" t="s">
        <v>44</v>
      </c>
      <c r="U191" t="s">
        <v>44</v>
      </c>
      <c r="V191" t="s">
        <v>1895</v>
      </c>
    </row>
    <row r="192" spans="1:23">
      <c r="A192" s="40" t="s">
        <v>519</v>
      </c>
      <c r="B192" s="40" t="s">
        <v>519</v>
      </c>
      <c r="C192" s="40" t="s">
        <v>519</v>
      </c>
      <c r="D192" s="5"/>
      <c r="E192" s="21" t="s">
        <v>50</v>
      </c>
      <c r="F192" s="21" t="s">
        <v>51</v>
      </c>
      <c r="G192" s="5"/>
      <c r="H192" s="6"/>
      <c r="I192" s="6"/>
      <c r="J192" s="6" t="s">
        <v>39</v>
      </c>
      <c r="K192" s="6"/>
      <c r="L192" s="6"/>
      <c r="M192" s="6" t="s">
        <v>39</v>
      </c>
      <c r="N192" s="6"/>
      <c r="O192" s="23">
        <v>20000</v>
      </c>
      <c r="P192" s="47">
        <v>0.5</v>
      </c>
      <c r="Q192" s="21" t="s">
        <v>520</v>
      </c>
      <c r="R192" s="21" t="s">
        <v>771</v>
      </c>
      <c r="T192" t="s">
        <v>542</v>
      </c>
      <c r="U192" t="s">
        <v>544</v>
      </c>
    </row>
    <row r="193" spans="1:22" s="66" customFormat="1">
      <c r="A193" s="67" t="s">
        <v>321</v>
      </c>
      <c r="B193" s="74" t="s">
        <v>294</v>
      </c>
      <c r="C193" s="74" t="s">
        <v>92</v>
      </c>
      <c r="D193" s="75"/>
      <c r="E193" s="67" t="s">
        <v>295</v>
      </c>
      <c r="F193" s="67" t="s">
        <v>701</v>
      </c>
      <c r="G193" s="75" t="s">
        <v>299</v>
      </c>
      <c r="H193" s="76" t="s">
        <v>39</v>
      </c>
      <c r="I193" s="76" t="s">
        <v>39</v>
      </c>
      <c r="J193" s="76" t="s">
        <v>39</v>
      </c>
      <c r="K193" s="76" t="s">
        <v>78</v>
      </c>
      <c r="L193" s="76" t="s">
        <v>78</v>
      </c>
      <c r="M193" s="76"/>
      <c r="N193" s="76"/>
      <c r="O193" s="69">
        <v>20000</v>
      </c>
      <c r="P193" s="75"/>
      <c r="Q193" s="75"/>
      <c r="R193" s="67" t="s">
        <v>527</v>
      </c>
      <c r="S193" s="66" t="s">
        <v>545</v>
      </c>
      <c r="T193" s="66" t="s">
        <v>542</v>
      </c>
      <c r="U193" s="66" t="s">
        <v>544</v>
      </c>
      <c r="V193" s="66" t="s">
        <v>546</v>
      </c>
    </row>
    <row r="197" spans="1:22">
      <c r="A197" s="81" t="s">
        <v>847</v>
      </c>
      <c r="B197" s="64"/>
    </row>
    <row r="198" spans="1:22">
      <c r="A198" s="82" t="s">
        <v>848</v>
      </c>
      <c r="B198" s="66"/>
    </row>
  </sheetData>
  <sortState xmlns:xlrd2="http://schemas.microsoft.com/office/spreadsheetml/2017/richdata2" ref="A2:Q189">
    <sortCondition ref="E2:E189"/>
    <sortCondition ref="F2:F189"/>
    <sortCondition ref="A2:A189"/>
  </sortState>
  <hyperlinks>
    <hyperlink ref="G93" r:id="rId1" xr:uid="{30E6496D-C665-4A6B-A2DD-D95FF33D6BED}"/>
    <hyperlink ref="G28" r:id="rId2" display="customerservice@billtrust.com" xr:uid="{BD4FCB52-1F6D-4F48-9E53-A4A9737C8A8D}"/>
    <hyperlink ref="G50" r:id="rId3" display="GreatLakes_RetailOperations@constellation.com; Ana.Gutierrez@constellation.com;Tonia.Lively@constellation.com" xr:uid="{5C247D84-A2E4-49E9-A095-72956A19E216}"/>
  </hyperlinks>
  <pageMargins left="0.7" right="0.7" top="0.75" bottom="0.75" header="0.3" footer="0.3"/>
  <pageSetup orientation="portrait" r:id="rId4"/>
  <legacy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6A787-1578-4941-B043-0EDBC591FDA4}">
  <dimension ref="A1:K36"/>
  <sheetViews>
    <sheetView workbookViewId="0">
      <selection activeCell="D30" sqref="D30"/>
    </sheetView>
  </sheetViews>
  <sheetFormatPr defaultRowHeight="15"/>
  <cols>
    <col min="1" max="1" width="52.140625" style="6" bestFit="1" customWidth="1"/>
    <col min="2" max="2" width="20" style="6" bestFit="1" customWidth="1"/>
    <col min="3" max="3" width="14" style="6" bestFit="1" customWidth="1"/>
    <col min="4" max="4" width="13.7109375" style="6" bestFit="1" customWidth="1"/>
    <col min="5" max="5" width="17.28515625" style="6" bestFit="1" customWidth="1"/>
    <col min="6" max="6" width="27.7109375" style="6" bestFit="1" customWidth="1"/>
    <col min="7" max="11" width="36.7109375" style="8" customWidth="1"/>
  </cols>
  <sheetData>
    <row r="1" spans="1:11" ht="30">
      <c r="A1" s="9" t="s">
        <v>0</v>
      </c>
      <c r="B1" s="9" t="s">
        <v>1896</v>
      </c>
      <c r="C1" s="9" t="s">
        <v>1</v>
      </c>
      <c r="D1" s="9" t="s">
        <v>21</v>
      </c>
      <c r="E1" s="9" t="s">
        <v>23</v>
      </c>
      <c r="F1" s="9" t="s">
        <v>24</v>
      </c>
      <c r="G1" s="6" t="s">
        <v>1897</v>
      </c>
      <c r="H1" s="6" t="s">
        <v>1898</v>
      </c>
      <c r="I1" s="6" t="s">
        <v>1899</v>
      </c>
      <c r="J1" s="6" t="s">
        <v>1900</v>
      </c>
      <c r="K1" s="6" t="s">
        <v>1901</v>
      </c>
    </row>
    <row r="2" spans="1:11">
      <c r="A2" s="10" t="s">
        <v>293</v>
      </c>
      <c r="B2" s="10" t="s">
        <v>1902</v>
      </c>
      <c r="C2" s="10" t="s">
        <v>294</v>
      </c>
      <c r="D2" s="10" t="s">
        <v>92</v>
      </c>
      <c r="E2" s="10" t="s">
        <v>295</v>
      </c>
      <c r="F2" s="10" t="s">
        <v>296</v>
      </c>
      <c r="G2" s="11" t="e" cm="1">
        <f t="array" ref="G2">INDEX([1]Sheet2!$C$2:$C$235, MATCH(1,INDEX(($B2=[1]Sheet2!$A$2:$A$235)*(G$1=[1]Sheet2!$B$2:$B$235),0,1),0))</f>
        <v>#N/A</v>
      </c>
      <c r="H2" s="11" t="e" cm="1">
        <f t="array" ref="H2">INDEX([1]Sheet2!$C$2:$C$235, MATCH(1,INDEX(($B2=[1]Sheet2!$A$2:$A$235)*(H$1=[1]Sheet2!$B$2:$B$235),0,1),0))</f>
        <v>#N/A</v>
      </c>
      <c r="I2" s="11" t="e" cm="1">
        <f t="array" ref="I2">INDEX([1]Sheet2!$C$2:$C$235, MATCH(1,INDEX(($B2=[1]Sheet2!$A$2:$A$235)*(I$1=[1]Sheet2!$B$2:$B$235),0,1),0))</f>
        <v>#N/A</v>
      </c>
      <c r="J2" s="11" t="e" cm="1">
        <f t="array" ref="J2">INDEX([1]Sheet2!$C$2:$C$235, MATCH(1,INDEX(($B2=[1]Sheet2!$A$2:$A$235)*(J$1=[1]Sheet2!$B$2:$B$235),0,1),0))</f>
        <v>#N/A</v>
      </c>
      <c r="K2" s="11" t="e" cm="1">
        <f t="array" ref="K2">INDEX([1]Sheet2!$C$2:$C$235, MATCH(1,INDEX(($B2=[1]Sheet2!$A$2:$A$235)*(K$1=[1]Sheet2!$B$2:$B$235),0,1),0))</f>
        <v>#N/A</v>
      </c>
    </row>
    <row r="3" spans="1:11">
      <c r="A3" s="10" t="s">
        <v>297</v>
      </c>
      <c r="B3" s="10" t="s">
        <v>1903</v>
      </c>
      <c r="C3" s="10" t="s">
        <v>294</v>
      </c>
      <c r="D3" s="10" t="s">
        <v>92</v>
      </c>
      <c r="E3" s="10" t="s">
        <v>295</v>
      </c>
      <c r="F3" s="10" t="s">
        <v>296</v>
      </c>
      <c r="G3" s="11" t="e" cm="1">
        <f t="array" ref="G3">INDEX([1]Sheet2!$C$2:$C$235, MATCH(1,INDEX(($B3=[1]Sheet2!$A$2:$A$235)*(G$1=[1]Sheet2!$B$2:$B$235),0,1),0))</f>
        <v>#N/A</v>
      </c>
      <c r="H3" s="11" t="e" cm="1">
        <f t="array" ref="H3">INDEX([1]Sheet2!$C$2:$C$235, MATCH(1,INDEX(($B3=[1]Sheet2!$A$2:$A$235)*(H$1=[1]Sheet2!$B$2:$B$235),0,1),0))</f>
        <v>#N/A</v>
      </c>
      <c r="I3" s="11" t="e" cm="1">
        <f t="array" ref="I3">INDEX([1]Sheet2!$C$2:$C$235, MATCH(1,INDEX(($B3=[1]Sheet2!$A$2:$A$235)*(I$1=[1]Sheet2!$B$2:$B$235),0,1),0))</f>
        <v>#N/A</v>
      </c>
      <c r="J3" s="11" t="e" cm="1">
        <f t="array" ref="J3">INDEX([1]Sheet2!$C$2:$C$235, MATCH(1,INDEX(($B3=[1]Sheet2!$A$2:$A$235)*(J$1=[1]Sheet2!$B$2:$B$235),0,1),0))</f>
        <v>#N/A</v>
      </c>
      <c r="K3" s="11" t="e" cm="1">
        <f t="array" ref="K3">INDEX([1]Sheet2!$C$2:$C$235, MATCH(1,INDEX(($B3=[1]Sheet2!$A$2:$A$235)*(K$1=[1]Sheet2!$B$2:$B$235),0,1),0))</f>
        <v>#N/A</v>
      </c>
    </row>
    <row r="4" spans="1:11">
      <c r="A4" s="10" t="s">
        <v>298</v>
      </c>
      <c r="B4" s="10" t="s">
        <v>1904</v>
      </c>
      <c r="C4" s="10" t="s">
        <v>294</v>
      </c>
      <c r="D4" s="10" t="s">
        <v>92</v>
      </c>
      <c r="E4" s="10" t="s">
        <v>295</v>
      </c>
      <c r="F4" s="10" t="s">
        <v>296</v>
      </c>
      <c r="G4" s="11" t="e" cm="1">
        <f t="array" ref="G4">INDEX([1]Sheet2!$C$2:$C$235, MATCH(1,INDEX(($B4=[1]Sheet2!$A$2:$A$235)*(G$1=[1]Sheet2!$B$2:$B$235),0,1),0))</f>
        <v>#N/A</v>
      </c>
      <c r="H4" s="11" t="e" cm="1">
        <f t="array" ref="H4">INDEX([1]Sheet2!$C$2:$C$235, MATCH(1,INDEX(($B4=[1]Sheet2!$A$2:$A$235)*(H$1=[1]Sheet2!$B$2:$B$235),0,1),0))</f>
        <v>#N/A</v>
      </c>
      <c r="I4" s="11" t="e" cm="1">
        <f t="array" ref="I4">INDEX([1]Sheet2!$C$2:$C$235, MATCH(1,INDEX(($B4=[1]Sheet2!$A$2:$A$235)*(I$1=[1]Sheet2!$B$2:$B$235),0,1),0))</f>
        <v>#N/A</v>
      </c>
      <c r="J4" s="11" t="e" cm="1">
        <f t="array" ref="J4">INDEX([1]Sheet2!$C$2:$C$235, MATCH(1,INDEX(($B4=[1]Sheet2!$A$2:$A$235)*(J$1=[1]Sheet2!$B$2:$B$235),0,1),0))</f>
        <v>#N/A</v>
      </c>
      <c r="K4" s="11" t="e" cm="1">
        <f t="array" ref="K4">INDEX([1]Sheet2!$C$2:$C$235, MATCH(1,INDEX(($B4=[1]Sheet2!$A$2:$A$235)*(K$1=[1]Sheet2!$B$2:$B$235),0,1),0))</f>
        <v>#N/A</v>
      </c>
    </row>
    <row r="5" spans="1:11">
      <c r="A5" s="10" t="s">
        <v>320</v>
      </c>
      <c r="B5" s="10" t="s">
        <v>1905</v>
      </c>
      <c r="C5" s="10" t="s">
        <v>294</v>
      </c>
      <c r="D5" s="10" t="s">
        <v>92</v>
      </c>
      <c r="E5" s="10" t="s">
        <v>295</v>
      </c>
      <c r="F5" s="10" t="s">
        <v>296</v>
      </c>
      <c r="G5" s="11" t="e" cm="1">
        <f t="array" ref="G5">INDEX([1]Sheet2!$C$2:$C$235, MATCH(1,INDEX(($B5=[1]Sheet2!$A$2:$A$235)*(G$1=[1]Sheet2!$B$2:$B$235),0,1),0))</f>
        <v>#N/A</v>
      </c>
      <c r="H5" s="11" t="e" cm="1">
        <f t="array" ref="H5">INDEX([1]Sheet2!$C$2:$C$235, MATCH(1,INDEX(($B5=[1]Sheet2!$A$2:$A$235)*(H$1=[1]Sheet2!$B$2:$B$235),0,1),0))</f>
        <v>#N/A</v>
      </c>
      <c r="I5" s="11" t="e" cm="1">
        <f t="array" ref="I5">INDEX([1]Sheet2!$C$2:$C$235, MATCH(1,INDEX(($B5=[1]Sheet2!$A$2:$A$235)*(I$1=[1]Sheet2!$B$2:$B$235),0,1),0))</f>
        <v>#N/A</v>
      </c>
      <c r="J5" s="11" t="e" cm="1">
        <f t="array" ref="J5">INDEX([1]Sheet2!$C$2:$C$235, MATCH(1,INDEX(($B5=[1]Sheet2!$A$2:$A$235)*(J$1=[1]Sheet2!$B$2:$B$235),0,1),0))</f>
        <v>#N/A</v>
      </c>
      <c r="K5" s="11" t="e" cm="1">
        <f t="array" ref="K5">INDEX([1]Sheet2!$C$2:$C$235, MATCH(1,INDEX(($B5=[1]Sheet2!$A$2:$A$235)*(K$1=[1]Sheet2!$B$2:$B$235),0,1),0))</f>
        <v>#N/A</v>
      </c>
    </row>
    <row r="6" spans="1:11">
      <c r="A6" s="10" t="s">
        <v>301</v>
      </c>
      <c r="B6" s="10" t="s">
        <v>1906</v>
      </c>
      <c r="C6" s="10" t="s">
        <v>294</v>
      </c>
      <c r="D6" s="10" t="s">
        <v>92</v>
      </c>
      <c r="E6" s="10" t="s">
        <v>295</v>
      </c>
      <c r="F6" s="10" t="s">
        <v>296</v>
      </c>
      <c r="G6" s="11" t="e" cm="1">
        <f t="array" ref="G6">INDEX([1]Sheet2!$C$2:$C$235, MATCH(1,INDEX(($B6=[1]Sheet2!$A$2:$A$235)*(G$1=[1]Sheet2!$B$2:$B$235),0,1),0))</f>
        <v>#N/A</v>
      </c>
      <c r="H6" s="11" t="e" cm="1">
        <f t="array" ref="H6">INDEX([1]Sheet2!$C$2:$C$235, MATCH(1,INDEX(($B6=[1]Sheet2!$A$2:$A$235)*(H$1=[1]Sheet2!$B$2:$B$235),0,1),0))</f>
        <v>#N/A</v>
      </c>
      <c r="I6" s="11" t="e" cm="1">
        <f t="array" ref="I6">INDEX([1]Sheet2!$C$2:$C$235, MATCH(1,INDEX(($B6=[1]Sheet2!$A$2:$A$235)*(I$1=[1]Sheet2!$B$2:$B$235),0,1),0))</f>
        <v>#N/A</v>
      </c>
      <c r="J6" s="11" t="e" cm="1">
        <f t="array" ref="J6">INDEX([1]Sheet2!$C$2:$C$235, MATCH(1,INDEX(($B6=[1]Sheet2!$A$2:$A$235)*(J$1=[1]Sheet2!$B$2:$B$235),0,1),0))</f>
        <v>#N/A</v>
      </c>
      <c r="K6" s="11" t="e" cm="1">
        <f t="array" ref="K6">INDEX([1]Sheet2!$C$2:$C$235, MATCH(1,INDEX(($B6=[1]Sheet2!$A$2:$A$235)*(K$1=[1]Sheet2!$B$2:$B$235),0,1),0))</f>
        <v>#N/A</v>
      </c>
    </row>
    <row r="7" spans="1:11">
      <c r="A7" s="10" t="s">
        <v>300</v>
      </c>
      <c r="B7" s="10" t="s">
        <v>1907</v>
      </c>
      <c r="C7" s="10" t="s">
        <v>294</v>
      </c>
      <c r="D7" s="10" t="s">
        <v>92</v>
      </c>
      <c r="E7" s="10" t="s">
        <v>295</v>
      </c>
      <c r="F7" s="10" t="s">
        <v>296</v>
      </c>
      <c r="G7" s="11" t="e" cm="1">
        <f t="array" ref="G7">INDEX([1]Sheet2!$C$2:$C$235, MATCH(1,INDEX(($B7=[1]Sheet2!$A$2:$A$235)*(G$1=[1]Sheet2!$B$2:$B$235),0,1),0))</f>
        <v>#N/A</v>
      </c>
      <c r="H7" s="11" t="e" cm="1">
        <f t="array" ref="H7">INDEX([1]Sheet2!$C$2:$C$235, MATCH(1,INDEX(($B7=[1]Sheet2!$A$2:$A$235)*(H$1=[1]Sheet2!$B$2:$B$235),0,1),0))</f>
        <v>#N/A</v>
      </c>
      <c r="I7" s="11" t="e" cm="1">
        <f t="array" ref="I7">INDEX([1]Sheet2!$C$2:$C$235, MATCH(1,INDEX(($B7=[1]Sheet2!$A$2:$A$235)*(I$1=[1]Sheet2!$B$2:$B$235),0,1),0))</f>
        <v>#N/A</v>
      </c>
      <c r="J7" s="11" t="e" cm="1">
        <f t="array" ref="J7">INDEX([1]Sheet2!$C$2:$C$235, MATCH(1,INDEX(($B7=[1]Sheet2!$A$2:$A$235)*(J$1=[1]Sheet2!$B$2:$B$235),0,1),0))</f>
        <v>#N/A</v>
      </c>
      <c r="K7" s="11" t="e" cm="1">
        <f t="array" ref="K7">INDEX([1]Sheet2!$C$2:$C$235, MATCH(1,INDEX(($B7=[1]Sheet2!$A$2:$A$235)*(K$1=[1]Sheet2!$B$2:$B$235),0,1),0))</f>
        <v>#N/A</v>
      </c>
    </row>
    <row r="8" spans="1:11">
      <c r="A8" s="10" t="s">
        <v>302</v>
      </c>
      <c r="B8" s="10" t="s">
        <v>1908</v>
      </c>
      <c r="C8" s="10" t="s">
        <v>294</v>
      </c>
      <c r="D8" s="10" t="s">
        <v>92</v>
      </c>
      <c r="E8" s="10" t="s">
        <v>295</v>
      </c>
      <c r="F8" s="10" t="s">
        <v>296</v>
      </c>
      <c r="G8" s="11" t="e" cm="1">
        <f t="array" ref="G8">INDEX([1]Sheet2!$C$2:$C$235, MATCH(1,INDEX(($B8=[1]Sheet2!$A$2:$A$235)*(G$1=[1]Sheet2!$B$2:$B$235),0,1),0))</f>
        <v>#N/A</v>
      </c>
      <c r="H8" s="11" t="e" cm="1">
        <f t="array" ref="H8">INDEX([1]Sheet2!$C$2:$C$235, MATCH(1,INDEX(($B8=[1]Sheet2!$A$2:$A$235)*(H$1=[1]Sheet2!$B$2:$B$235),0,1),0))</f>
        <v>#N/A</v>
      </c>
      <c r="I8" s="11" t="e" cm="1">
        <f t="array" ref="I8">INDEX([1]Sheet2!$C$2:$C$235, MATCH(1,INDEX(($B8=[1]Sheet2!$A$2:$A$235)*(I$1=[1]Sheet2!$B$2:$B$235),0,1),0))</f>
        <v>#N/A</v>
      </c>
      <c r="J8" s="11" t="e" cm="1">
        <f t="array" ref="J8">INDEX([1]Sheet2!$C$2:$C$235, MATCH(1,INDEX(($B8=[1]Sheet2!$A$2:$A$235)*(J$1=[1]Sheet2!$B$2:$B$235),0,1),0))</f>
        <v>#N/A</v>
      </c>
      <c r="K8" s="11" t="e" cm="1">
        <f t="array" ref="K8">INDEX([1]Sheet2!$C$2:$C$235, MATCH(1,INDEX(($B8=[1]Sheet2!$A$2:$A$235)*(K$1=[1]Sheet2!$B$2:$B$235),0,1),0))</f>
        <v>#N/A</v>
      </c>
    </row>
    <row r="9" spans="1:11" s="64" customFormat="1">
      <c r="A9" s="60" t="s">
        <v>202</v>
      </c>
      <c r="B9" s="60" t="s">
        <v>1909</v>
      </c>
      <c r="C9" s="63" t="s">
        <v>208</v>
      </c>
      <c r="D9" s="61"/>
      <c r="E9" s="61"/>
      <c r="F9" s="61"/>
      <c r="G9" s="62" t="e" cm="1">
        <f t="array" ref="G9">INDEX([1]Sheet2!$C$2:$C$235, MATCH(1,INDEX(($B9=[1]Sheet2!$A$2:$A$235)*(G$1=[1]Sheet2!$B$2:$B$235),0,1),0))</f>
        <v>#N/A</v>
      </c>
      <c r="H9" s="62" t="e" cm="1">
        <f t="array" ref="H9">INDEX([1]Sheet2!$C$2:$C$235, MATCH(1,INDEX(($B9=[1]Sheet2!$A$2:$A$235)*(H$1=[1]Sheet2!$B$2:$B$235),0,1),0))</f>
        <v>#N/A</v>
      </c>
      <c r="I9" s="62" t="e" cm="1">
        <f t="array" ref="I9">INDEX([1]Sheet2!$C$2:$C$235, MATCH(1,INDEX(($B9=[1]Sheet2!$A$2:$A$235)*(I$1=[1]Sheet2!$B$2:$B$235),0,1),0))</f>
        <v>#N/A</v>
      </c>
      <c r="J9" s="62" t="e" cm="1">
        <f t="array" ref="J9">INDEX([1]Sheet2!$C$2:$C$235, MATCH(1,INDEX(($B9=[1]Sheet2!$A$2:$A$235)*(J$1=[1]Sheet2!$B$2:$B$235),0,1),0))</f>
        <v>#N/A</v>
      </c>
      <c r="K9" s="62" t="e" cm="1">
        <f t="array" ref="K9">INDEX([1]Sheet2!$C$2:$C$235, MATCH(1,INDEX(($B9=[1]Sheet2!$A$2:$A$235)*(K$1=[1]Sheet2!$B$2:$B$235),0,1),0))</f>
        <v>#N/A</v>
      </c>
    </row>
    <row r="10" spans="1:11">
      <c r="A10" s="10" t="s">
        <v>305</v>
      </c>
      <c r="B10" s="10" t="s">
        <v>1910</v>
      </c>
      <c r="C10" s="10" t="s">
        <v>294</v>
      </c>
      <c r="D10" s="10" t="s">
        <v>92</v>
      </c>
      <c r="E10" s="10" t="s">
        <v>295</v>
      </c>
      <c r="F10" s="10" t="s">
        <v>296</v>
      </c>
      <c r="G10" s="11" t="e" cm="1">
        <f t="array" ref="G10">INDEX([1]Sheet2!$C$2:$C$235, MATCH(1,INDEX(($B10=[1]Sheet2!$A$2:$A$235)*(G$1=[1]Sheet2!$B$2:$B$235),0,1),0))</f>
        <v>#N/A</v>
      </c>
      <c r="H10" s="11" t="e" cm="1">
        <f t="array" ref="H10">INDEX([1]Sheet2!$C$2:$C$235, MATCH(1,INDEX(($B10=[1]Sheet2!$A$2:$A$235)*(H$1=[1]Sheet2!$B$2:$B$235),0,1),0))</f>
        <v>#N/A</v>
      </c>
      <c r="I10" s="11" t="e" cm="1">
        <f t="array" ref="I10">INDEX([1]Sheet2!$C$2:$C$235, MATCH(1,INDEX(($B10=[1]Sheet2!$A$2:$A$235)*(I$1=[1]Sheet2!$B$2:$B$235),0,1),0))</f>
        <v>#N/A</v>
      </c>
      <c r="J10" s="11" t="e" cm="1">
        <f t="array" ref="J10">INDEX([1]Sheet2!$C$2:$C$235, MATCH(1,INDEX(($B10=[1]Sheet2!$A$2:$A$235)*(J$1=[1]Sheet2!$B$2:$B$235),0,1),0))</f>
        <v>#N/A</v>
      </c>
      <c r="K10" s="11" t="e" cm="1">
        <f t="array" ref="K10">INDEX([1]Sheet2!$C$2:$C$235, MATCH(1,INDEX(($B10=[1]Sheet2!$A$2:$A$235)*(K$1=[1]Sheet2!$B$2:$B$235),0,1),0))</f>
        <v>#N/A</v>
      </c>
    </row>
    <row r="11" spans="1:11">
      <c r="A11" s="10" t="s">
        <v>306</v>
      </c>
      <c r="B11" s="10" t="s">
        <v>1911</v>
      </c>
      <c r="C11" s="10" t="s">
        <v>294</v>
      </c>
      <c r="D11" s="10" t="s">
        <v>92</v>
      </c>
      <c r="E11" s="10" t="s">
        <v>295</v>
      </c>
      <c r="F11" s="10" t="s">
        <v>296</v>
      </c>
      <c r="G11" s="11" t="e" cm="1">
        <f t="array" ref="G11">INDEX([1]Sheet2!$C$2:$C$235, MATCH(1,INDEX(($B11=[1]Sheet2!$A$2:$A$235)*(G$1=[1]Sheet2!$B$2:$B$235),0,1),0))</f>
        <v>#N/A</v>
      </c>
      <c r="H11" s="11" t="e" cm="1">
        <f t="array" ref="H11">INDEX([1]Sheet2!$C$2:$C$235, MATCH(1,INDEX(($B11=[1]Sheet2!$A$2:$A$235)*(H$1=[1]Sheet2!$B$2:$B$235),0,1),0))</f>
        <v>#N/A</v>
      </c>
      <c r="I11" s="11" t="e" cm="1">
        <f t="array" ref="I11">INDEX([1]Sheet2!$C$2:$C$235, MATCH(1,INDEX(($B11=[1]Sheet2!$A$2:$A$235)*(I$1=[1]Sheet2!$B$2:$B$235),0,1),0))</f>
        <v>#N/A</v>
      </c>
      <c r="J11" s="11" t="e" cm="1">
        <f t="array" ref="J11">INDEX([1]Sheet2!$C$2:$C$235, MATCH(1,INDEX(($B11=[1]Sheet2!$A$2:$A$235)*(J$1=[1]Sheet2!$B$2:$B$235),0,1),0))</f>
        <v>#N/A</v>
      </c>
      <c r="K11" s="11" t="e" cm="1">
        <f t="array" ref="K11">INDEX([1]Sheet2!$C$2:$C$235, MATCH(1,INDEX(($B11=[1]Sheet2!$A$2:$A$235)*(K$1=[1]Sheet2!$B$2:$B$235),0,1),0))</f>
        <v>#N/A</v>
      </c>
    </row>
    <row r="12" spans="1:11">
      <c r="A12" s="10" t="s">
        <v>308</v>
      </c>
      <c r="B12" s="10" t="s">
        <v>1912</v>
      </c>
      <c r="C12" s="10" t="s">
        <v>294</v>
      </c>
      <c r="D12" s="10" t="s">
        <v>92</v>
      </c>
      <c r="E12" s="10" t="s">
        <v>295</v>
      </c>
      <c r="F12" s="10" t="s">
        <v>296</v>
      </c>
      <c r="G12" s="11" t="e" cm="1">
        <f t="array" ref="G12">INDEX([1]Sheet2!$C$2:$C$235, MATCH(1,INDEX(($B12=[1]Sheet2!$A$2:$A$235)*(G$1=[1]Sheet2!$B$2:$B$235),0,1),0))</f>
        <v>#N/A</v>
      </c>
      <c r="H12" s="11" t="e" cm="1">
        <f t="array" ref="H12">INDEX([1]Sheet2!$C$2:$C$235, MATCH(1,INDEX(($B12=[1]Sheet2!$A$2:$A$235)*(H$1=[1]Sheet2!$B$2:$B$235),0,1),0))</f>
        <v>#N/A</v>
      </c>
      <c r="I12" s="11" t="e" cm="1">
        <f t="array" ref="I12">INDEX([1]Sheet2!$C$2:$C$235, MATCH(1,INDEX(($B12=[1]Sheet2!$A$2:$A$235)*(I$1=[1]Sheet2!$B$2:$B$235),0,1),0))</f>
        <v>#N/A</v>
      </c>
      <c r="J12" s="11" t="e" cm="1">
        <f t="array" ref="J12">INDEX([1]Sheet2!$C$2:$C$235, MATCH(1,INDEX(($B12=[1]Sheet2!$A$2:$A$235)*(J$1=[1]Sheet2!$B$2:$B$235),0,1),0))</f>
        <v>#N/A</v>
      </c>
      <c r="K12" s="11" t="e" cm="1">
        <f t="array" ref="K12">INDEX([1]Sheet2!$C$2:$C$235, MATCH(1,INDEX(($B12=[1]Sheet2!$A$2:$A$235)*(K$1=[1]Sheet2!$B$2:$B$235),0,1),0))</f>
        <v>#N/A</v>
      </c>
    </row>
    <row r="13" spans="1:11">
      <c r="A13" s="10" t="s">
        <v>313</v>
      </c>
      <c r="B13" s="10" t="s">
        <v>1913</v>
      </c>
      <c r="C13" s="10" t="s">
        <v>294</v>
      </c>
      <c r="D13" s="10" t="s">
        <v>92</v>
      </c>
      <c r="E13" s="10" t="s">
        <v>295</v>
      </c>
      <c r="F13" s="10" t="s">
        <v>296</v>
      </c>
      <c r="G13" s="11" t="e" cm="1">
        <f t="array" ref="G13">INDEX([1]Sheet2!$C$2:$C$235, MATCH(1,INDEX(($B13=[1]Sheet2!$A$2:$A$235)*(G$1=[1]Sheet2!$B$2:$B$235),0,1),0))</f>
        <v>#N/A</v>
      </c>
      <c r="H13" s="11" t="e" cm="1">
        <f t="array" ref="H13">INDEX([1]Sheet2!$C$2:$C$235, MATCH(1,INDEX(($B13=[1]Sheet2!$A$2:$A$235)*(H$1=[1]Sheet2!$B$2:$B$235),0,1),0))</f>
        <v>#N/A</v>
      </c>
      <c r="I13" s="11" t="e" cm="1">
        <f t="array" ref="I13">INDEX([1]Sheet2!$C$2:$C$235, MATCH(1,INDEX(($B13=[1]Sheet2!$A$2:$A$235)*(I$1=[1]Sheet2!$B$2:$B$235),0,1),0))</f>
        <v>#N/A</v>
      </c>
      <c r="J13" s="11" t="e" cm="1">
        <f t="array" ref="J13">INDEX([1]Sheet2!$C$2:$C$235, MATCH(1,INDEX(($B13=[1]Sheet2!$A$2:$A$235)*(J$1=[1]Sheet2!$B$2:$B$235),0,1),0))</f>
        <v>#N/A</v>
      </c>
      <c r="K13" s="11" t="e" cm="1">
        <f t="array" ref="K13">INDEX([1]Sheet2!$C$2:$C$235, MATCH(1,INDEX(($B13=[1]Sheet2!$A$2:$A$235)*(K$1=[1]Sheet2!$B$2:$B$235),0,1),0))</f>
        <v>#N/A</v>
      </c>
    </row>
    <row r="14" spans="1:11">
      <c r="A14" s="10" t="s">
        <v>310</v>
      </c>
      <c r="B14" s="10" t="s">
        <v>1914</v>
      </c>
      <c r="C14" s="10" t="s">
        <v>294</v>
      </c>
      <c r="D14" s="10" t="s">
        <v>92</v>
      </c>
      <c r="E14" s="10" t="s">
        <v>295</v>
      </c>
      <c r="F14" s="10" t="s">
        <v>296</v>
      </c>
      <c r="G14" s="11" t="e" cm="1">
        <f t="array" ref="G14">INDEX([1]Sheet2!$C$2:$C$235, MATCH(1,INDEX(($B14=[1]Sheet2!$A$2:$A$235)*(G$1=[1]Sheet2!$B$2:$B$235),0,1),0))</f>
        <v>#N/A</v>
      </c>
      <c r="H14" s="11" t="e" cm="1">
        <f t="array" ref="H14">INDEX([1]Sheet2!$C$2:$C$235, MATCH(1,INDEX(($B14=[1]Sheet2!$A$2:$A$235)*(H$1=[1]Sheet2!$B$2:$B$235),0,1),0))</f>
        <v>#N/A</v>
      </c>
      <c r="I14" s="11" t="e" cm="1">
        <f t="array" ref="I14">INDEX([1]Sheet2!$C$2:$C$235, MATCH(1,INDEX(($B14=[1]Sheet2!$A$2:$A$235)*(I$1=[1]Sheet2!$B$2:$B$235),0,1),0))</f>
        <v>#N/A</v>
      </c>
      <c r="J14" s="11" t="e" cm="1">
        <f t="array" ref="J14">INDEX([1]Sheet2!$C$2:$C$235, MATCH(1,INDEX(($B14=[1]Sheet2!$A$2:$A$235)*(J$1=[1]Sheet2!$B$2:$B$235),0,1),0))</f>
        <v>#N/A</v>
      </c>
      <c r="K14" s="11" t="e" cm="1">
        <f t="array" ref="K14">INDEX([1]Sheet2!$C$2:$C$235, MATCH(1,INDEX(($B14=[1]Sheet2!$A$2:$A$235)*(K$1=[1]Sheet2!$B$2:$B$235),0,1),0))</f>
        <v>#N/A</v>
      </c>
    </row>
    <row r="15" spans="1:11">
      <c r="A15" s="10" t="s">
        <v>312</v>
      </c>
      <c r="B15" s="10" t="s">
        <v>1915</v>
      </c>
      <c r="C15" s="10" t="s">
        <v>294</v>
      </c>
      <c r="D15" s="10" t="s">
        <v>92</v>
      </c>
      <c r="E15" s="10" t="s">
        <v>295</v>
      </c>
      <c r="F15" s="10" t="s">
        <v>296</v>
      </c>
      <c r="G15" s="11" t="e" cm="1">
        <f t="array" ref="G15">INDEX([1]Sheet2!$C$2:$C$235, MATCH(1,INDEX(($B15=[1]Sheet2!$A$2:$A$235)*(G$1=[1]Sheet2!$B$2:$B$235),0,1),0))</f>
        <v>#N/A</v>
      </c>
      <c r="H15" s="11" t="e" cm="1">
        <f t="array" ref="H15">INDEX([1]Sheet2!$C$2:$C$235, MATCH(1,INDEX(($B15=[1]Sheet2!$A$2:$A$235)*(H$1=[1]Sheet2!$B$2:$B$235),0,1),0))</f>
        <v>#N/A</v>
      </c>
      <c r="I15" s="11" t="e" cm="1">
        <f t="array" ref="I15">INDEX([1]Sheet2!$C$2:$C$235, MATCH(1,INDEX(($B15=[1]Sheet2!$A$2:$A$235)*(I$1=[1]Sheet2!$B$2:$B$235),0,1),0))</f>
        <v>#N/A</v>
      </c>
      <c r="J15" s="11" t="e" cm="1">
        <f t="array" ref="J15">INDEX([1]Sheet2!$C$2:$C$235, MATCH(1,INDEX(($B15=[1]Sheet2!$A$2:$A$235)*(J$1=[1]Sheet2!$B$2:$B$235),0,1),0))</f>
        <v>#N/A</v>
      </c>
      <c r="K15" s="11" t="e" cm="1">
        <f t="array" ref="K15">INDEX([1]Sheet2!$C$2:$C$235, MATCH(1,INDEX(($B15=[1]Sheet2!$A$2:$A$235)*(K$1=[1]Sheet2!$B$2:$B$235),0,1),0))</f>
        <v>#N/A</v>
      </c>
    </row>
    <row r="16" spans="1:11">
      <c r="A16" s="10" t="s">
        <v>314</v>
      </c>
      <c r="B16" s="10" t="s">
        <v>1916</v>
      </c>
      <c r="C16" s="10" t="s">
        <v>294</v>
      </c>
      <c r="D16" s="10" t="s">
        <v>92</v>
      </c>
      <c r="E16" s="10" t="s">
        <v>295</v>
      </c>
      <c r="F16" s="10" t="s">
        <v>296</v>
      </c>
      <c r="G16" s="11" t="e" cm="1">
        <f t="array" ref="G16">INDEX([1]Sheet2!$C$2:$C$235, MATCH(1,INDEX(($B16=[1]Sheet2!$A$2:$A$235)*(G$1=[1]Sheet2!$B$2:$B$235),0,1),0))</f>
        <v>#N/A</v>
      </c>
      <c r="H16" s="11" t="e" cm="1">
        <f t="array" ref="H16">INDEX([1]Sheet2!$C$2:$C$235, MATCH(1,INDEX(($B16=[1]Sheet2!$A$2:$A$235)*(H$1=[1]Sheet2!$B$2:$B$235),0,1),0))</f>
        <v>#N/A</v>
      </c>
      <c r="I16" s="11" t="e" cm="1">
        <f t="array" ref="I16">INDEX([1]Sheet2!$C$2:$C$235, MATCH(1,INDEX(($B16=[1]Sheet2!$A$2:$A$235)*(I$1=[1]Sheet2!$B$2:$B$235),0,1),0))</f>
        <v>#N/A</v>
      </c>
      <c r="J16" s="11" t="e" cm="1">
        <f t="array" ref="J16">INDEX([1]Sheet2!$C$2:$C$235, MATCH(1,INDEX(($B16=[1]Sheet2!$A$2:$A$235)*(J$1=[1]Sheet2!$B$2:$B$235),0,1),0))</f>
        <v>#N/A</v>
      </c>
      <c r="K16" s="11" t="e" cm="1">
        <f t="array" ref="K16">INDEX([1]Sheet2!$C$2:$C$235, MATCH(1,INDEX(($B16=[1]Sheet2!$A$2:$A$235)*(K$1=[1]Sheet2!$B$2:$B$235),0,1),0))</f>
        <v>#N/A</v>
      </c>
    </row>
    <row r="17" spans="1:11">
      <c r="A17" s="10" t="s">
        <v>315</v>
      </c>
      <c r="B17" s="10" t="s">
        <v>1917</v>
      </c>
      <c r="C17" s="10" t="s">
        <v>294</v>
      </c>
      <c r="D17" s="10" t="s">
        <v>92</v>
      </c>
      <c r="E17" s="10" t="s">
        <v>295</v>
      </c>
      <c r="F17" s="10" t="s">
        <v>296</v>
      </c>
      <c r="G17" s="11" t="e" cm="1">
        <f t="array" ref="G17">INDEX([1]Sheet2!$C$2:$C$235, MATCH(1,INDEX(($B17=[1]Sheet2!$A$2:$A$235)*(G$1=[1]Sheet2!$B$2:$B$235),0,1),0))</f>
        <v>#N/A</v>
      </c>
      <c r="H17" s="11" t="e" cm="1">
        <f t="array" ref="H17">INDEX([1]Sheet2!$C$2:$C$235, MATCH(1,INDEX(($B17=[1]Sheet2!$A$2:$A$235)*(H$1=[1]Sheet2!$B$2:$B$235),0,1),0))</f>
        <v>#N/A</v>
      </c>
      <c r="I17" s="11" t="e" cm="1">
        <f t="array" ref="I17">INDEX([1]Sheet2!$C$2:$C$235, MATCH(1,INDEX(($B17=[1]Sheet2!$A$2:$A$235)*(I$1=[1]Sheet2!$B$2:$B$235),0,1),0))</f>
        <v>#N/A</v>
      </c>
      <c r="J17" s="11" t="e" cm="1">
        <f t="array" ref="J17">INDEX([1]Sheet2!$C$2:$C$235, MATCH(1,INDEX(($B17=[1]Sheet2!$A$2:$A$235)*(J$1=[1]Sheet2!$B$2:$B$235),0,1),0))</f>
        <v>#N/A</v>
      </c>
      <c r="K17" s="11" t="e" cm="1">
        <f t="array" ref="K17">INDEX([1]Sheet2!$C$2:$C$235, MATCH(1,INDEX(($B17=[1]Sheet2!$A$2:$A$235)*(K$1=[1]Sheet2!$B$2:$B$235),0,1),0))</f>
        <v>#N/A</v>
      </c>
    </row>
    <row r="18" spans="1:11">
      <c r="A18" s="10" t="s">
        <v>307</v>
      </c>
      <c r="B18" s="10" t="s">
        <v>1918</v>
      </c>
      <c r="C18" s="10" t="s">
        <v>294</v>
      </c>
      <c r="D18" s="10" t="s">
        <v>92</v>
      </c>
      <c r="E18" s="10" t="s">
        <v>295</v>
      </c>
      <c r="F18" s="10" t="s">
        <v>296</v>
      </c>
      <c r="G18" s="11" t="e" cm="1">
        <f t="array" ref="G18">INDEX([1]Sheet2!$C$2:$C$235, MATCH(1,INDEX(($B18=[1]Sheet2!$A$2:$A$235)*(G$1=[1]Sheet2!$B$2:$B$235),0,1),0))</f>
        <v>#N/A</v>
      </c>
      <c r="H18" s="11" t="e" cm="1">
        <f t="array" ref="H18">INDEX([1]Sheet2!$C$2:$C$235, MATCH(1,INDEX(($B18=[1]Sheet2!$A$2:$A$235)*(H$1=[1]Sheet2!$B$2:$B$235),0,1),0))</f>
        <v>#N/A</v>
      </c>
      <c r="I18" s="11" t="e" cm="1">
        <f t="array" ref="I18">INDEX([1]Sheet2!$C$2:$C$235, MATCH(1,INDEX(($B18=[1]Sheet2!$A$2:$A$235)*(I$1=[1]Sheet2!$B$2:$B$235),0,1),0))</f>
        <v>#N/A</v>
      </c>
      <c r="J18" s="11" t="e" cm="1">
        <f t="array" ref="J18">INDEX([1]Sheet2!$C$2:$C$235, MATCH(1,INDEX(($B18=[1]Sheet2!$A$2:$A$235)*(J$1=[1]Sheet2!$B$2:$B$235),0,1),0))</f>
        <v>#N/A</v>
      </c>
      <c r="K18" s="11" t="e" cm="1">
        <f t="array" ref="K18">INDEX([1]Sheet2!$C$2:$C$235, MATCH(1,INDEX(($B18=[1]Sheet2!$A$2:$A$235)*(K$1=[1]Sheet2!$B$2:$B$235),0,1),0))</f>
        <v>#N/A</v>
      </c>
    </row>
    <row r="19" spans="1:11">
      <c r="A19" s="10" t="s">
        <v>316</v>
      </c>
      <c r="B19" s="10" t="s">
        <v>1919</v>
      </c>
      <c r="C19" s="10" t="s">
        <v>294</v>
      </c>
      <c r="D19" s="10" t="s">
        <v>92</v>
      </c>
      <c r="E19" s="10" t="s">
        <v>295</v>
      </c>
      <c r="F19" s="10" t="s">
        <v>296</v>
      </c>
      <c r="G19" s="11" t="e" cm="1">
        <f t="array" ref="G19">INDEX([1]Sheet2!$C$2:$C$235, MATCH(1,INDEX(($B19=[1]Sheet2!$A$2:$A$235)*(G$1=[1]Sheet2!$B$2:$B$235),0,1),0))</f>
        <v>#N/A</v>
      </c>
      <c r="H19" s="11" t="e" cm="1">
        <f t="array" ref="H19">INDEX([1]Sheet2!$C$2:$C$235, MATCH(1,INDEX(($B19=[1]Sheet2!$A$2:$A$235)*(H$1=[1]Sheet2!$B$2:$B$235),0,1),0))</f>
        <v>#N/A</v>
      </c>
      <c r="I19" s="11" t="e" cm="1">
        <f t="array" ref="I19">INDEX([1]Sheet2!$C$2:$C$235, MATCH(1,INDEX(($B19=[1]Sheet2!$A$2:$A$235)*(I$1=[1]Sheet2!$B$2:$B$235),0,1),0))</f>
        <v>#N/A</v>
      </c>
      <c r="J19" s="11" t="e" cm="1">
        <f t="array" ref="J19">INDEX([1]Sheet2!$C$2:$C$235, MATCH(1,INDEX(($B19=[1]Sheet2!$A$2:$A$235)*(J$1=[1]Sheet2!$B$2:$B$235),0,1),0))</f>
        <v>#N/A</v>
      </c>
      <c r="K19" s="11" t="e" cm="1">
        <f t="array" ref="K19">INDEX([1]Sheet2!$C$2:$C$235, MATCH(1,INDEX(($B19=[1]Sheet2!$A$2:$A$235)*(K$1=[1]Sheet2!$B$2:$B$235),0,1),0))</f>
        <v>#N/A</v>
      </c>
    </row>
    <row r="20" spans="1:11">
      <c r="A20" s="10" t="s">
        <v>317</v>
      </c>
      <c r="B20" s="10" t="s">
        <v>1920</v>
      </c>
      <c r="C20" s="10" t="s">
        <v>294</v>
      </c>
      <c r="D20" s="10" t="s">
        <v>92</v>
      </c>
      <c r="E20" s="10" t="s">
        <v>295</v>
      </c>
      <c r="F20" s="10" t="s">
        <v>296</v>
      </c>
      <c r="G20" s="11" t="e" cm="1">
        <f t="array" ref="G20">INDEX([1]Sheet2!$C$2:$C$235, MATCH(1,INDEX(($B20=[1]Sheet2!$A$2:$A$235)*(G$1=[1]Sheet2!$B$2:$B$235),0,1),0))</f>
        <v>#N/A</v>
      </c>
      <c r="H20" s="11" t="e" cm="1">
        <f t="array" ref="H20">INDEX([1]Sheet2!$C$2:$C$235, MATCH(1,INDEX(($B20=[1]Sheet2!$A$2:$A$235)*(H$1=[1]Sheet2!$B$2:$B$235),0,1),0))</f>
        <v>#N/A</v>
      </c>
      <c r="I20" s="11" t="e" cm="1">
        <f t="array" ref="I20">INDEX([1]Sheet2!$C$2:$C$235, MATCH(1,INDEX(($B20=[1]Sheet2!$A$2:$A$235)*(I$1=[1]Sheet2!$B$2:$B$235),0,1),0))</f>
        <v>#N/A</v>
      </c>
      <c r="J20" s="11" t="e" cm="1">
        <f t="array" ref="J20">INDEX([1]Sheet2!$C$2:$C$235, MATCH(1,INDEX(($B20=[1]Sheet2!$A$2:$A$235)*(J$1=[1]Sheet2!$B$2:$B$235),0,1),0))</f>
        <v>#N/A</v>
      </c>
      <c r="K20" s="11" t="e" cm="1">
        <f t="array" ref="K20">INDEX([1]Sheet2!$C$2:$C$235, MATCH(1,INDEX(($B20=[1]Sheet2!$A$2:$A$235)*(K$1=[1]Sheet2!$B$2:$B$235),0,1),0))</f>
        <v>#N/A</v>
      </c>
    </row>
    <row r="21" spans="1:11">
      <c r="A21" s="10" t="s">
        <v>304</v>
      </c>
      <c r="B21" s="10" t="s">
        <v>1921</v>
      </c>
      <c r="C21" s="10" t="s">
        <v>294</v>
      </c>
      <c r="D21" s="10" t="s">
        <v>92</v>
      </c>
      <c r="E21" s="10" t="s">
        <v>295</v>
      </c>
      <c r="F21" s="10" t="s">
        <v>296</v>
      </c>
      <c r="G21" s="11" t="e" cm="1">
        <f t="array" ref="G21">INDEX([1]Sheet2!$C$2:$C$235, MATCH(1,INDEX(($B21=[1]Sheet2!$A$2:$A$235)*(G$1=[1]Sheet2!$B$2:$B$235),0,1),0))</f>
        <v>#N/A</v>
      </c>
      <c r="H21" s="11" t="e" cm="1">
        <f t="array" ref="H21">INDEX([1]Sheet2!$C$2:$C$235, MATCH(1,INDEX(($B21=[1]Sheet2!$A$2:$A$235)*(H$1=[1]Sheet2!$B$2:$B$235),0,1),0))</f>
        <v>#N/A</v>
      </c>
      <c r="I21" s="11" t="e" cm="1">
        <f t="array" ref="I21">INDEX([1]Sheet2!$C$2:$C$235, MATCH(1,INDEX(($B21=[1]Sheet2!$A$2:$A$235)*(I$1=[1]Sheet2!$B$2:$B$235),0,1),0))</f>
        <v>#N/A</v>
      </c>
      <c r="J21" s="11" t="e" cm="1">
        <f t="array" ref="J21">INDEX([1]Sheet2!$C$2:$C$235, MATCH(1,INDEX(($B21=[1]Sheet2!$A$2:$A$235)*(J$1=[1]Sheet2!$B$2:$B$235),0,1),0))</f>
        <v>#N/A</v>
      </c>
      <c r="K21" s="11" t="e" cm="1">
        <f t="array" ref="K21">INDEX([1]Sheet2!$C$2:$C$235, MATCH(1,INDEX(($B21=[1]Sheet2!$A$2:$A$235)*(K$1=[1]Sheet2!$B$2:$B$235),0,1),0))</f>
        <v>#N/A</v>
      </c>
    </row>
    <row r="22" spans="1:11">
      <c r="A22" s="10" t="s">
        <v>318</v>
      </c>
      <c r="B22" s="10" t="s">
        <v>1922</v>
      </c>
      <c r="C22" s="10" t="s">
        <v>294</v>
      </c>
      <c r="D22" s="10" t="s">
        <v>92</v>
      </c>
      <c r="E22" s="10" t="s">
        <v>295</v>
      </c>
      <c r="F22" s="10" t="s">
        <v>296</v>
      </c>
      <c r="G22" s="11" t="e" cm="1">
        <f t="array" ref="G22">INDEX([1]Sheet2!$C$2:$C$235, MATCH(1,INDEX(($B22=[1]Sheet2!$A$2:$A$235)*(G$1=[1]Sheet2!$B$2:$B$235),0,1),0))</f>
        <v>#N/A</v>
      </c>
      <c r="H22" s="11" t="e" cm="1">
        <f t="array" ref="H22">INDEX([1]Sheet2!$C$2:$C$235, MATCH(1,INDEX(($B22=[1]Sheet2!$A$2:$A$235)*(H$1=[1]Sheet2!$B$2:$B$235),0,1),0))</f>
        <v>#N/A</v>
      </c>
      <c r="I22" s="11" t="e" cm="1">
        <f t="array" ref="I22">INDEX([1]Sheet2!$C$2:$C$235, MATCH(1,INDEX(($B22=[1]Sheet2!$A$2:$A$235)*(I$1=[1]Sheet2!$B$2:$B$235),0,1),0))</f>
        <v>#N/A</v>
      </c>
      <c r="J22" s="11" t="e" cm="1">
        <f t="array" ref="J22">INDEX([1]Sheet2!$C$2:$C$235, MATCH(1,INDEX(($B22=[1]Sheet2!$A$2:$A$235)*(J$1=[1]Sheet2!$B$2:$B$235),0,1),0))</f>
        <v>#N/A</v>
      </c>
      <c r="K22" s="11" t="e" cm="1">
        <f t="array" ref="K22">INDEX([1]Sheet2!$C$2:$C$235, MATCH(1,INDEX(($B22=[1]Sheet2!$A$2:$A$235)*(K$1=[1]Sheet2!$B$2:$B$235),0,1),0))</f>
        <v>#N/A</v>
      </c>
    </row>
    <row r="23" spans="1:11">
      <c r="A23" s="10" t="s">
        <v>303</v>
      </c>
      <c r="B23" s="10" t="s">
        <v>1923</v>
      </c>
      <c r="C23" s="10" t="s">
        <v>294</v>
      </c>
      <c r="D23" s="10" t="s">
        <v>92</v>
      </c>
      <c r="E23" s="10" t="s">
        <v>295</v>
      </c>
      <c r="F23" s="10" t="s">
        <v>296</v>
      </c>
      <c r="G23" s="11" t="e" cm="1">
        <f t="array" ref="G23">INDEX([1]Sheet2!$C$2:$C$235, MATCH(1,INDEX(($B23=[1]Sheet2!$A$2:$A$235)*(G$1=[1]Sheet2!$B$2:$B$235),0,1),0))</f>
        <v>#N/A</v>
      </c>
      <c r="H23" s="11" t="e" cm="1">
        <f t="array" ref="H23">INDEX([1]Sheet2!$C$2:$C$235, MATCH(1,INDEX(($B23=[1]Sheet2!$A$2:$A$235)*(H$1=[1]Sheet2!$B$2:$B$235),0,1),0))</f>
        <v>#N/A</v>
      </c>
      <c r="I23" s="11" t="e" cm="1">
        <f t="array" ref="I23">INDEX([1]Sheet2!$C$2:$C$235, MATCH(1,INDEX(($B23=[1]Sheet2!$A$2:$A$235)*(I$1=[1]Sheet2!$B$2:$B$235),0,1),0))</f>
        <v>#N/A</v>
      </c>
      <c r="J23" s="11" t="e" cm="1">
        <f t="array" ref="J23">INDEX([1]Sheet2!$C$2:$C$235, MATCH(1,INDEX(($B23=[1]Sheet2!$A$2:$A$235)*(J$1=[1]Sheet2!$B$2:$B$235),0,1),0))</f>
        <v>#N/A</v>
      </c>
      <c r="K23" s="11" t="e" cm="1">
        <f t="array" ref="K23">INDEX([1]Sheet2!$C$2:$C$235, MATCH(1,INDEX(($B23=[1]Sheet2!$A$2:$A$235)*(K$1=[1]Sheet2!$B$2:$B$235),0,1),0))</f>
        <v>#N/A</v>
      </c>
    </row>
    <row r="24" spans="1:11">
      <c r="A24" s="10" t="s">
        <v>309</v>
      </c>
      <c r="B24" s="10" t="s">
        <v>1924</v>
      </c>
      <c r="C24" s="10" t="s">
        <v>294</v>
      </c>
      <c r="D24" s="10" t="s">
        <v>92</v>
      </c>
      <c r="E24" s="10" t="s">
        <v>295</v>
      </c>
      <c r="F24" s="10" t="s">
        <v>296</v>
      </c>
      <c r="G24" s="11" t="e" cm="1">
        <f t="array" ref="G24">INDEX([1]Sheet2!$C$2:$C$235, MATCH(1,INDEX(($B24=[1]Sheet2!$A$2:$A$235)*(G$1=[1]Sheet2!$B$2:$B$235),0,1),0))</f>
        <v>#N/A</v>
      </c>
      <c r="H24" s="11" t="e" cm="1">
        <f t="array" ref="H24">INDEX([1]Sheet2!$C$2:$C$235, MATCH(1,INDEX(($B24=[1]Sheet2!$A$2:$A$235)*(H$1=[1]Sheet2!$B$2:$B$235),0,1),0))</f>
        <v>#N/A</v>
      </c>
      <c r="I24" s="11" t="e" cm="1">
        <f t="array" ref="I24">INDEX([1]Sheet2!$C$2:$C$235, MATCH(1,INDEX(($B24=[1]Sheet2!$A$2:$A$235)*(I$1=[1]Sheet2!$B$2:$B$235),0,1),0))</f>
        <v>#N/A</v>
      </c>
      <c r="J24" s="11" t="e" cm="1">
        <f t="array" ref="J24">INDEX([1]Sheet2!$C$2:$C$235, MATCH(1,INDEX(($B24=[1]Sheet2!$A$2:$A$235)*(J$1=[1]Sheet2!$B$2:$B$235),0,1),0))</f>
        <v>#N/A</v>
      </c>
      <c r="K24" s="11" t="e" cm="1">
        <f t="array" ref="K24">INDEX([1]Sheet2!$C$2:$C$235, MATCH(1,INDEX(($B24=[1]Sheet2!$A$2:$A$235)*(K$1=[1]Sheet2!$B$2:$B$235),0,1),0))</f>
        <v>#N/A</v>
      </c>
    </row>
    <row r="25" spans="1:11">
      <c r="A25" s="10" t="s">
        <v>311</v>
      </c>
      <c r="B25" s="10" t="s">
        <v>1925</v>
      </c>
      <c r="C25" s="10" t="s">
        <v>294</v>
      </c>
      <c r="D25" s="10" t="s">
        <v>92</v>
      </c>
      <c r="E25" s="10" t="s">
        <v>295</v>
      </c>
      <c r="F25" s="10" t="s">
        <v>296</v>
      </c>
      <c r="G25" s="11" t="e" cm="1">
        <f t="array" ref="G25">INDEX([1]Sheet2!$C$2:$C$235, MATCH(1,INDEX(($B25=[1]Sheet2!$A$2:$A$235)*(G$1=[1]Sheet2!$B$2:$B$235),0,1),0))</f>
        <v>#N/A</v>
      </c>
      <c r="H25" s="11" t="e" cm="1">
        <f t="array" ref="H25">INDEX([1]Sheet2!$C$2:$C$235, MATCH(1,INDEX(($B25=[1]Sheet2!$A$2:$A$235)*(H$1=[1]Sheet2!$B$2:$B$235),0,1),0))</f>
        <v>#N/A</v>
      </c>
      <c r="I25" s="11" t="e" cm="1">
        <f t="array" ref="I25">INDEX([1]Sheet2!$C$2:$C$235, MATCH(1,INDEX(($B25=[1]Sheet2!$A$2:$A$235)*(I$1=[1]Sheet2!$B$2:$B$235),0,1),0))</f>
        <v>#N/A</v>
      </c>
      <c r="J25" s="11" t="e" cm="1">
        <f t="array" ref="J25">INDEX([1]Sheet2!$C$2:$C$235, MATCH(1,INDEX(($B25=[1]Sheet2!$A$2:$A$235)*(J$1=[1]Sheet2!$B$2:$B$235),0,1),0))</f>
        <v>#N/A</v>
      </c>
      <c r="K25" s="11" t="e" cm="1">
        <f t="array" ref="K25">INDEX([1]Sheet2!$C$2:$C$235, MATCH(1,INDEX(($B25=[1]Sheet2!$A$2:$A$235)*(K$1=[1]Sheet2!$B$2:$B$235),0,1),0))</f>
        <v>#N/A</v>
      </c>
    </row>
    <row r="26" spans="1:11">
      <c r="A26" s="10" t="s">
        <v>319</v>
      </c>
      <c r="B26" s="10" t="s">
        <v>1926</v>
      </c>
      <c r="C26" s="10" t="s">
        <v>294</v>
      </c>
      <c r="D26" s="10" t="s">
        <v>92</v>
      </c>
      <c r="E26" s="10" t="s">
        <v>295</v>
      </c>
      <c r="F26" s="10" t="s">
        <v>296</v>
      </c>
      <c r="G26" s="11" t="e" cm="1">
        <f t="array" ref="G26">INDEX([1]Sheet2!$C$2:$C$235, MATCH(1,INDEX(($B26=[1]Sheet2!$A$2:$A$235)*(G$1=[1]Sheet2!$B$2:$B$235),0,1),0))</f>
        <v>#N/A</v>
      </c>
      <c r="H26" s="11" t="e" cm="1">
        <f t="array" ref="H26">INDEX([1]Sheet2!$C$2:$C$235, MATCH(1,INDEX(($B26=[1]Sheet2!$A$2:$A$235)*(H$1=[1]Sheet2!$B$2:$B$235),0,1),0))</f>
        <v>#N/A</v>
      </c>
      <c r="I26" s="11" t="e" cm="1">
        <f t="array" ref="I26">INDEX([1]Sheet2!$C$2:$C$235, MATCH(1,INDEX(($B26=[1]Sheet2!$A$2:$A$235)*(I$1=[1]Sheet2!$B$2:$B$235),0,1),0))</f>
        <v>#N/A</v>
      </c>
      <c r="J26" s="11" t="e" cm="1">
        <f t="array" ref="J26">INDEX([1]Sheet2!$C$2:$C$235, MATCH(1,INDEX(($B26=[1]Sheet2!$A$2:$A$235)*(J$1=[1]Sheet2!$B$2:$B$235),0,1),0))</f>
        <v>#N/A</v>
      </c>
      <c r="K26" s="11" t="e" cm="1">
        <f t="array" ref="K26">INDEX([1]Sheet2!$C$2:$C$235, MATCH(1,INDEX(($B26=[1]Sheet2!$A$2:$A$235)*(K$1=[1]Sheet2!$B$2:$B$235),0,1),0))</f>
        <v>#N/A</v>
      </c>
    </row>
    <row r="27" spans="1:11">
      <c r="A27" s="10" t="s">
        <v>321</v>
      </c>
      <c r="B27" s="10" t="s">
        <v>1927</v>
      </c>
      <c r="C27" s="10" t="s">
        <v>294</v>
      </c>
      <c r="D27" s="10" t="s">
        <v>92</v>
      </c>
      <c r="E27" s="10" t="s">
        <v>295</v>
      </c>
      <c r="F27" s="10" t="s">
        <v>296</v>
      </c>
      <c r="G27" s="11" t="e" cm="1">
        <f t="array" ref="G27">INDEX([1]Sheet2!$C$2:$C$235, MATCH(1,INDEX(($B27=[1]Sheet2!$A$2:$A$235)*(G$1=[1]Sheet2!$B$2:$B$235),0,1),0))</f>
        <v>#N/A</v>
      </c>
      <c r="H27" s="11" t="e" cm="1">
        <f t="array" ref="H27">INDEX([1]Sheet2!$C$2:$C$235, MATCH(1,INDEX(($B27=[1]Sheet2!$A$2:$A$235)*(H$1=[1]Sheet2!$B$2:$B$235),0,1),0))</f>
        <v>#N/A</v>
      </c>
      <c r="I27" s="11" t="e" cm="1">
        <f t="array" ref="I27">INDEX([1]Sheet2!$C$2:$C$235, MATCH(1,INDEX(($B27=[1]Sheet2!$A$2:$A$235)*(I$1=[1]Sheet2!$B$2:$B$235),0,1),0))</f>
        <v>#N/A</v>
      </c>
      <c r="J27" s="11" t="e" cm="1">
        <f t="array" ref="J27">INDEX([1]Sheet2!$C$2:$C$235, MATCH(1,INDEX(($B27=[1]Sheet2!$A$2:$A$235)*(J$1=[1]Sheet2!$B$2:$B$235),0,1),0))</f>
        <v>#N/A</v>
      </c>
      <c r="K27" s="11" t="e" cm="1">
        <f t="array" ref="K27">INDEX([1]Sheet2!$C$2:$C$235, MATCH(1,INDEX(($B27=[1]Sheet2!$A$2:$A$235)*(K$1=[1]Sheet2!$B$2:$B$235),0,1),0))</f>
        <v>#N/A</v>
      </c>
    </row>
    <row r="28" spans="1:11">
      <c r="A28" s="13" t="s">
        <v>207</v>
      </c>
      <c r="B28" s="12" t="s">
        <v>1928</v>
      </c>
      <c r="C28" s="13" t="s">
        <v>208</v>
      </c>
      <c r="D28" s="3" t="s">
        <v>92</v>
      </c>
      <c r="E28" s="3" t="s">
        <v>120</v>
      </c>
      <c r="F28" s="3" t="s">
        <v>204</v>
      </c>
      <c r="G28" s="6"/>
    </row>
    <row r="29" spans="1:11">
      <c r="A29" s="13" t="s">
        <v>210</v>
      </c>
      <c r="B29" s="12" t="s">
        <v>1929</v>
      </c>
      <c r="C29" s="13" t="s">
        <v>208</v>
      </c>
      <c r="D29" s="3" t="s">
        <v>92</v>
      </c>
      <c r="E29" s="3" t="s">
        <v>120</v>
      </c>
      <c r="F29" s="3" t="s">
        <v>204</v>
      </c>
      <c r="G29" s="6"/>
    </row>
    <row r="30" spans="1:11">
      <c r="A30" s="13" t="s">
        <v>212</v>
      </c>
      <c r="B30" s="12" t="s">
        <v>1930</v>
      </c>
      <c r="C30" s="13" t="s">
        <v>208</v>
      </c>
      <c r="D30" s="3" t="s">
        <v>92</v>
      </c>
      <c r="E30" s="3" t="s">
        <v>120</v>
      </c>
      <c r="F30" s="3" t="s">
        <v>204</v>
      </c>
      <c r="G30" s="6"/>
    </row>
    <row r="31" spans="1:11">
      <c r="A31" s="13" t="s">
        <v>215</v>
      </c>
      <c r="B31" s="12" t="s">
        <v>1931</v>
      </c>
      <c r="C31" s="13" t="s">
        <v>208</v>
      </c>
      <c r="D31" s="3" t="s">
        <v>92</v>
      </c>
      <c r="E31" s="3" t="s">
        <v>120</v>
      </c>
      <c r="F31" s="3" t="s">
        <v>204</v>
      </c>
      <c r="G31" s="6"/>
    </row>
    <row r="32" spans="1:11">
      <c r="A32" s="13" t="s">
        <v>217</v>
      </c>
      <c r="B32" s="12" t="s">
        <v>1932</v>
      </c>
      <c r="C32" s="13" t="s">
        <v>208</v>
      </c>
      <c r="D32" s="3" t="s">
        <v>92</v>
      </c>
      <c r="E32" s="3" t="s">
        <v>120</v>
      </c>
      <c r="F32" s="3" t="s">
        <v>204</v>
      </c>
      <c r="G32" s="6"/>
    </row>
    <row r="33" spans="1:11">
      <c r="A33" s="13" t="s">
        <v>219</v>
      </c>
      <c r="B33" s="12" t="s">
        <v>1933</v>
      </c>
      <c r="C33" s="13" t="s">
        <v>208</v>
      </c>
      <c r="D33" s="3" t="s">
        <v>92</v>
      </c>
      <c r="E33" s="3" t="s">
        <v>120</v>
      </c>
      <c r="F33" s="3" t="s">
        <v>204</v>
      </c>
      <c r="G33" s="6"/>
    </row>
    <row r="34" spans="1:11">
      <c r="A34" s="13" t="s">
        <v>221</v>
      </c>
      <c r="B34" s="12" t="s">
        <v>1934</v>
      </c>
      <c r="C34" s="13" t="s">
        <v>208</v>
      </c>
      <c r="D34" s="3" t="s">
        <v>92</v>
      </c>
      <c r="E34" s="3" t="s">
        <v>120</v>
      </c>
      <c r="F34" s="3" t="s">
        <v>204</v>
      </c>
      <c r="G34" s="6"/>
    </row>
    <row r="36" spans="1:11" s="64" customFormat="1">
      <c r="A36" s="61" t="s">
        <v>1935</v>
      </c>
      <c r="B36" s="61"/>
      <c r="C36" s="61"/>
      <c r="D36" s="61"/>
      <c r="E36" s="61"/>
      <c r="F36" s="61"/>
      <c r="G36" s="65"/>
      <c r="H36" s="65"/>
      <c r="I36" s="65"/>
      <c r="J36" s="65"/>
      <c r="K36" s="6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6BBAA-E190-42A3-B7B5-6CB96D12197C}">
  <dimension ref="A1:F19"/>
  <sheetViews>
    <sheetView workbookViewId="0">
      <selection activeCell="B25" sqref="B25"/>
    </sheetView>
  </sheetViews>
  <sheetFormatPr defaultRowHeight="15"/>
  <cols>
    <col min="1" max="1" width="21.42578125" bestFit="1" customWidth="1"/>
    <col min="2" max="2" width="24" bestFit="1" customWidth="1"/>
    <col min="3" max="3" width="15.5703125" bestFit="1" customWidth="1"/>
    <col min="4" max="5" width="13.5703125" bestFit="1" customWidth="1"/>
  </cols>
  <sheetData>
    <row r="1" spans="1:6">
      <c r="A1" s="35" t="s">
        <v>1936</v>
      </c>
      <c r="B1" s="35" t="s">
        <v>1937</v>
      </c>
      <c r="C1" s="35" t="s">
        <v>1938</v>
      </c>
      <c r="D1" s="35" t="s">
        <v>1939</v>
      </c>
      <c r="E1" s="35" t="s">
        <v>1940</v>
      </c>
      <c r="F1" s="35" t="s">
        <v>1941</v>
      </c>
    </row>
    <row r="2" spans="1:6">
      <c r="A2" s="35" t="s">
        <v>71</v>
      </c>
    </row>
    <row r="3" spans="1:6">
      <c r="A3" s="37" t="s">
        <v>98</v>
      </c>
    </row>
    <row r="4" spans="1:6">
      <c r="A4" s="37" t="s">
        <v>358</v>
      </c>
      <c r="F4" t="s">
        <v>1942</v>
      </c>
    </row>
    <row r="5" spans="1:6">
      <c r="A5" s="37" t="s">
        <v>85</v>
      </c>
    </row>
    <row r="6" spans="1:6">
      <c r="A6" s="38" t="s">
        <v>80</v>
      </c>
    </row>
    <row r="7" spans="1:6">
      <c r="A7" s="39" t="s">
        <v>260</v>
      </c>
    </row>
    <row r="8" spans="1:6">
      <c r="A8" s="37" t="s">
        <v>482</v>
      </c>
    </row>
    <row r="9" spans="1:6">
      <c r="A9" s="37" t="s">
        <v>171</v>
      </c>
    </row>
    <row r="10" spans="1:6">
      <c r="A10" s="37" t="s">
        <v>68</v>
      </c>
    </row>
    <row r="11" spans="1:6">
      <c r="A11" s="37" t="s">
        <v>257</v>
      </c>
    </row>
    <row r="12" spans="1:6">
      <c r="A12" s="37" t="s">
        <v>412</v>
      </c>
    </row>
    <row r="13" spans="1:6">
      <c r="A13" s="37" t="s">
        <v>286</v>
      </c>
    </row>
    <row r="14" spans="1:6">
      <c r="A14" s="37" t="s">
        <v>127</v>
      </c>
    </row>
    <row r="15" spans="1:6">
      <c r="A15" s="37" t="s">
        <v>329</v>
      </c>
    </row>
    <row r="16" spans="1:6">
      <c r="A16" s="37" t="s">
        <v>512</v>
      </c>
    </row>
    <row r="17" spans="1:1">
      <c r="A17" s="37" t="s">
        <v>440</v>
      </c>
    </row>
    <row r="18" spans="1:1">
      <c r="A18" s="37" t="s">
        <v>289</v>
      </c>
    </row>
    <row r="19" spans="1:1">
      <c r="A19" s="37" t="s">
        <v>136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c7fe448-207e-4aca-804d-051f84c484d7">
      <Value>4</Value>
    </TaxCatchAll>
    <i0f84bba906045b4af568ee102a52dcb xmlns="2c7fe448-207e-4aca-804d-051f84c484d7">
      <Terms xmlns="http://schemas.microsoft.com/office/infopath/2007/PartnerControls">
        <TermInfo xmlns="http://schemas.microsoft.com/office/infopath/2007/PartnerControls">
          <TermName xmlns="http://schemas.microsoft.com/office/infopath/2007/PartnerControls">COR-104 Policies and Procedures</TermName>
          <TermId xmlns="http://schemas.microsoft.com/office/infopath/2007/PartnerControls">23fe8a5f-9220-44d9-ae32-6aebd451fecc</TermId>
        </TermInfo>
      </Terms>
    </i0f84bba906045b4af568ee102a52dcb>
    <RSC_x0020_Event_x0020_Date xmlns="a433be04-1063-452b-9ab8-ba06373cb7cb" xsi:nil="true"/>
    <lcf76f155ced4ddcb4097134ff3c332f xmlns="301e0a56-4899-4cce-a214-5e425f318dc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5E4EB0480BDD4BA0725FDA835A98E9" ma:contentTypeVersion="12" ma:contentTypeDescription="Create a new document." ma:contentTypeScope="" ma:versionID="a7e85cd843c542c305e66a5ac0a6561c">
  <xsd:schema xmlns:xsd="http://www.w3.org/2001/XMLSchema" xmlns:xs="http://www.w3.org/2001/XMLSchema" xmlns:p="http://schemas.microsoft.com/office/2006/metadata/properties" xmlns:ns2="a433be04-1063-452b-9ab8-ba06373cb7cb" xmlns:ns3="2c7fe448-207e-4aca-804d-051f84c484d7" xmlns:ns4="301e0a56-4899-4cce-a214-5e425f318dcb" targetNamespace="http://schemas.microsoft.com/office/2006/metadata/properties" ma:root="true" ma:fieldsID="30d58687421f0a6c39a35b55d9f36047" ns2:_="" ns3:_="" ns4:_="">
    <xsd:import namespace="a433be04-1063-452b-9ab8-ba06373cb7cb"/>
    <xsd:import namespace="2c7fe448-207e-4aca-804d-051f84c484d7"/>
    <xsd:import namespace="301e0a56-4899-4cce-a214-5e425f318dcb"/>
    <xsd:element name="properties">
      <xsd:complexType>
        <xsd:sequence>
          <xsd:element name="documentManagement">
            <xsd:complexType>
              <xsd:all>
                <xsd:element ref="ns2:RSC_x0020_Event_x0020_Date" minOccurs="0"/>
                <xsd:element ref="ns3:i0f84bba906045b4af568ee102a52dcb" minOccurs="0"/>
                <xsd:element ref="ns3:TaxCatchAll" minOccurs="0"/>
                <xsd:element ref="ns4:MediaServiceMetadata" minOccurs="0"/>
                <xsd:element ref="ns4:MediaServiceFastMetadata" minOccurs="0"/>
                <xsd:element ref="ns4:MediaServiceSearchProperties" minOccurs="0"/>
                <xsd:element ref="ns4:MediaServiceDateTaken"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c7fe448-207e-4aca-804d-051f84c484d7" elementFormDefault="qualified">
    <xsd:import namespace="http://schemas.microsoft.com/office/2006/documentManagement/types"/>
    <xsd:import namespace="http://schemas.microsoft.com/office/infopath/2007/PartnerControls"/>
    <xsd:element name="i0f84bba906045b4af568ee102a52dcb" ma:index="10" nillable="true" ma:taxonomy="true" ma:internalName="i0f84bba906045b4af568ee102a52dcb" ma:taxonomyFieldName="RevIMBCS" ma:displayName="Record Series Code" ma:indexed="true" ma:default="1;#Default RSC|9a6b99e8-c984-4e1f-adbd-d33c0db777c9"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0ec71dd2-9a89-4594-bd42-1ef39577ba0a}" ma:internalName="TaxCatchAll" ma:showField="CatchAllData" ma:web="2c7fe448-207e-4aca-804d-051f84c48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1e0a56-4899-4cce-a214-5e425f318dcb"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eb413d7-29a7-49c8-b3b9-887ddee13f6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eeb413d7-29a7-49c8-b3b9-887ddee13f64" ContentTypeId="0x01" PreviousValue="false"/>
</file>

<file path=customXml/itemProps1.xml><?xml version="1.0" encoding="utf-8"?>
<ds:datastoreItem xmlns:ds="http://schemas.openxmlformats.org/officeDocument/2006/customXml" ds:itemID="{9AD54108-1361-48BD-981C-D61BABA5A1E6}"/>
</file>

<file path=customXml/itemProps2.xml><?xml version="1.0" encoding="utf-8"?>
<ds:datastoreItem xmlns:ds="http://schemas.openxmlformats.org/officeDocument/2006/customXml" ds:itemID="{2D22B184-3805-4A71-800F-252BA851D332}"/>
</file>

<file path=customXml/itemProps3.xml><?xml version="1.0" encoding="utf-8"?>
<ds:datastoreItem xmlns:ds="http://schemas.openxmlformats.org/officeDocument/2006/customXml" ds:itemID="{92B0C916-B101-481F-9F37-9A2F1B02401B}"/>
</file>

<file path=customXml/itemProps4.xml><?xml version="1.0" encoding="utf-8"?>
<ds:datastoreItem xmlns:ds="http://schemas.openxmlformats.org/officeDocument/2006/customXml" ds:itemID="{412C8693-9994-4F93-A26F-ED8BF0750D8E}"/>
</file>

<file path=docProps/app.xml><?xml version="1.0" encoding="utf-8"?>
<Properties xmlns="http://schemas.openxmlformats.org/officeDocument/2006/extended-properties" xmlns:vt="http://schemas.openxmlformats.org/officeDocument/2006/docPropsVTypes">
  <Application>Microsoft Excel Online</Application>
  <Manager/>
  <Company>CMS Energy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Jeffery A. DeBiasi</dc:creator>
  <cp:keywords/>
  <dc:description/>
  <cp:lastModifiedBy/>
  <cp:revision/>
  <dcterms:created xsi:type="dcterms:W3CDTF">2025-05-15T18:54:38Z</dcterms:created>
  <dcterms:modified xsi:type="dcterms:W3CDTF">2026-04-23T14:11:11Z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0x010100E85E4EB0480BDD4BA0725FDA835A98E9</vt:lpwstr>
  </property>
  <property fmtid="{D5CDD505-2E9C-101B-9397-08002B2CF9AE}" pid="3" name="MediaServiceImageTags">
    <vt:lpwstr/>
  </property>
  <property fmtid="{D5CDD505-2E9C-101B-9397-08002B2CF9AE}" pid="4" name="RevIMBCS">
    <vt:lpwstr>4;#COR-104 Policies and Procedures|23fe8a5f-9220-44d9-ae32-6aebd451fecc</vt:lpwstr>
  </property>
  <property fmtid="{D5CDD505-2E9C-101B-9397-08002B2CF9AE}" pid="5" name="TitusGUID">
    <vt:lpwstr>55f9d057-db0c-43ea-a691-4a915cfcaa1f</vt:lpwstr>
  </property>
  <property fmtid="{D5CDD505-2E9C-101B-9397-08002B2CF9AE}" pid="6" name="HCLClassD6">
    <vt:lpwstr>False</vt:lpwstr>
  </property>
  <property fmtid="{D5CDD505-2E9C-101B-9397-08002B2CF9AE}" pid="7" name="HCLClassification">
    <vt:lpwstr>HCL_Cla5s_C0nf1dent1al</vt:lpwstr>
  </property>
</Properties>
</file>